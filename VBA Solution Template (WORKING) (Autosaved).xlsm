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tables/table1.xml" ContentType="application/vnd.openxmlformats-officedocument.spreadsheetml.table+xml"/>
  <Override PartName="/xl/drawings/drawing1.xml" ContentType="application/vnd.openxmlformats-officedocument.drawing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charts/chart2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charts/chart3.xml" ContentType="application/vnd.openxmlformats-officedocument.drawingml.chart+xml"/>
  <Override PartName="/xl/charts/style3.xml" ContentType="application/vnd.ms-office.chartstyle+xml"/>
  <Override PartName="/xl/charts/colors3.xml" ContentType="application/vnd.ms-office.chartcolorstyle+xml"/>
  <Override PartName="/xl/charts/chart4.xml" ContentType="application/vnd.openxmlformats-officedocument.drawingml.chart+xml"/>
  <Override PartName="/xl/charts/style4.xml" ContentType="application/vnd.ms-office.chartstyle+xml"/>
  <Override PartName="/xl/charts/colors4.xml" ContentType="application/vnd.ms-office.chartcolorsty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5" rupBuild="14420" codeName="{51196F13-6AD0-C1B8-E2B4-A1F9AE17003E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C:\Users\didymusbenson\Desktop\"/>
    </mc:Choice>
  </mc:AlternateContent>
  <bookViews>
    <workbookView xWindow="0" yWindow="0" windowWidth="28800" windowHeight="12300"/>
  </bookViews>
  <sheets>
    <sheet name="Data" sheetId="2" r:id="rId1"/>
    <sheet name="TrelloData" sheetId="3" r:id="rId2"/>
    <sheet name="Charts" sheetId="5" r:id="rId3"/>
    <sheet name="Filters" sheetId="6" r:id="rId4"/>
    <sheet name="DropDowns" sheetId="7" r:id="rId5"/>
    <sheet name="Needs" sheetId="8" r:id="rId6"/>
    <sheet name="settings" sheetId="4" r:id="rId7"/>
  </sheets>
  <functionGroups builtInGroupCount="18"/>
  <definedNames>
    <definedName name="_xlnm._FilterDatabase" localSheetId="1" hidden="1">TrelloData!$A$1:$G$1</definedName>
  </definedNames>
  <calcPr calcId="162913" concurrentCalc="0"/>
</workbook>
</file>

<file path=xl/calcChain.xml><?xml version="1.0" encoding="utf-8"?>
<calcChain xmlns="http://schemas.openxmlformats.org/spreadsheetml/2006/main">
  <c r="U3" i="2" l="1"/>
  <c r="V3" i="2"/>
  <c r="AK3" i="2"/>
  <c r="AU3" i="2"/>
  <c r="U4" i="2"/>
  <c r="V4" i="2"/>
  <c r="AK4" i="2"/>
  <c r="AU4" i="2"/>
  <c r="U5" i="2"/>
  <c r="V5" i="2"/>
  <c r="AK5" i="2"/>
  <c r="AU5" i="2"/>
  <c r="U6" i="2"/>
  <c r="V6" i="2"/>
  <c r="AK6" i="2"/>
  <c r="AU6" i="2"/>
  <c r="U7" i="2"/>
  <c r="V7" i="2"/>
  <c r="AK7" i="2"/>
  <c r="AU7" i="2"/>
  <c r="U8" i="2"/>
  <c r="V8" i="2"/>
  <c r="AK8" i="2"/>
  <c r="AU8" i="2"/>
  <c r="U9" i="2"/>
  <c r="V9" i="2"/>
  <c r="AK9" i="2"/>
  <c r="AU9" i="2"/>
  <c r="U10" i="2"/>
  <c r="V10" i="2"/>
  <c r="AK10" i="2"/>
  <c r="AU10" i="2"/>
  <c r="U11" i="2"/>
  <c r="V11" i="2"/>
  <c r="AK11" i="2"/>
  <c r="AU11" i="2"/>
  <c r="U12" i="2"/>
  <c r="V12" i="2"/>
  <c r="AK12" i="2"/>
  <c r="AU12" i="2"/>
  <c r="U13" i="2"/>
  <c r="V13" i="2"/>
  <c r="AK13" i="2"/>
  <c r="AU13" i="2"/>
  <c r="U14" i="2"/>
  <c r="V14" i="2"/>
  <c r="AK14" i="2"/>
  <c r="AU14" i="2"/>
  <c r="U15" i="2"/>
  <c r="V15" i="2"/>
  <c r="AK15" i="2"/>
  <c r="AU15" i="2"/>
  <c r="U16" i="2"/>
  <c r="V16" i="2"/>
  <c r="AK16" i="2"/>
  <c r="AU16" i="2"/>
  <c r="U17" i="2"/>
  <c r="V17" i="2"/>
  <c r="AK17" i="2"/>
  <c r="AU17" i="2"/>
  <c r="U18" i="2"/>
  <c r="V18" i="2"/>
  <c r="AK18" i="2"/>
  <c r="AU18" i="2"/>
  <c r="U19" i="2"/>
  <c r="V19" i="2"/>
  <c r="AK19" i="2"/>
  <c r="AU19" i="2"/>
  <c r="U20" i="2"/>
  <c r="V20" i="2"/>
  <c r="AK20" i="2"/>
  <c r="AU20" i="2"/>
  <c r="U21" i="2"/>
  <c r="V21" i="2"/>
  <c r="AK21" i="2"/>
  <c r="AU21" i="2"/>
  <c r="U22" i="2"/>
  <c r="V22" i="2"/>
  <c r="AK22" i="2"/>
  <c r="AU22" i="2"/>
  <c r="U23" i="2"/>
  <c r="V23" i="2"/>
  <c r="AK23" i="2"/>
  <c r="AU23" i="2"/>
  <c r="U24" i="2"/>
  <c r="V24" i="2"/>
  <c r="AK24" i="2"/>
  <c r="AU24" i="2"/>
  <c r="U25" i="2"/>
  <c r="V25" i="2"/>
  <c r="AK25" i="2"/>
  <c r="AU25" i="2"/>
  <c r="U26" i="2"/>
  <c r="V26" i="2"/>
  <c r="AK26" i="2"/>
  <c r="AU26" i="2"/>
  <c r="U27" i="2"/>
  <c r="V27" i="2"/>
  <c r="AK27" i="2"/>
  <c r="AU27" i="2"/>
  <c r="U28" i="2"/>
  <c r="V28" i="2"/>
  <c r="AK28" i="2"/>
  <c r="AU28" i="2"/>
  <c r="U29" i="2"/>
  <c r="V29" i="2"/>
  <c r="AK29" i="2"/>
  <c r="AU29" i="2"/>
  <c r="U30" i="2"/>
  <c r="V30" i="2"/>
  <c r="AK30" i="2"/>
  <c r="AU30" i="2"/>
  <c r="U31" i="2"/>
  <c r="V31" i="2"/>
  <c r="AK31" i="2"/>
  <c r="AU31" i="2"/>
  <c r="U32" i="2"/>
  <c r="V32" i="2"/>
  <c r="AK32" i="2"/>
  <c r="AU32" i="2"/>
  <c r="U33" i="2"/>
  <c r="V33" i="2"/>
  <c r="AK33" i="2"/>
  <c r="AU33" i="2"/>
  <c r="U34" i="2"/>
  <c r="V34" i="2"/>
  <c r="AK34" i="2"/>
  <c r="AU34" i="2"/>
  <c r="U35" i="2"/>
  <c r="V35" i="2"/>
  <c r="AK35" i="2"/>
  <c r="AU35" i="2"/>
  <c r="U36" i="2"/>
  <c r="V36" i="2"/>
  <c r="AK36" i="2"/>
  <c r="AU36" i="2"/>
  <c r="U37" i="2"/>
  <c r="V37" i="2"/>
  <c r="AK37" i="2"/>
  <c r="AU37" i="2"/>
  <c r="U38" i="2"/>
  <c r="V38" i="2"/>
  <c r="AK38" i="2"/>
  <c r="AU38" i="2"/>
  <c r="U39" i="2"/>
  <c r="V39" i="2"/>
  <c r="AK39" i="2"/>
  <c r="AU39" i="2"/>
  <c r="U40" i="2"/>
  <c r="V40" i="2"/>
  <c r="AK40" i="2"/>
  <c r="AU40" i="2"/>
  <c r="U41" i="2"/>
  <c r="V41" i="2"/>
  <c r="AK41" i="2"/>
  <c r="AU41" i="2"/>
  <c r="U42" i="2"/>
  <c r="V42" i="2"/>
  <c r="AK42" i="2"/>
  <c r="AU42" i="2"/>
  <c r="U43" i="2"/>
  <c r="V43" i="2"/>
  <c r="AK43" i="2"/>
  <c r="AU43" i="2"/>
  <c r="U44" i="2"/>
  <c r="V44" i="2"/>
  <c r="AK44" i="2"/>
  <c r="AU44" i="2"/>
  <c r="U45" i="2"/>
  <c r="V45" i="2"/>
  <c r="AK45" i="2"/>
  <c r="AU45" i="2"/>
  <c r="U46" i="2"/>
  <c r="V46" i="2"/>
  <c r="AK46" i="2"/>
  <c r="AU46" i="2"/>
  <c r="U47" i="2"/>
  <c r="V47" i="2"/>
  <c r="AK47" i="2"/>
  <c r="AU47" i="2"/>
  <c r="U48" i="2"/>
  <c r="V48" i="2"/>
  <c r="AK48" i="2"/>
  <c r="AU48" i="2"/>
  <c r="U49" i="2"/>
  <c r="V49" i="2"/>
  <c r="AK49" i="2"/>
  <c r="AU49" i="2"/>
  <c r="U50" i="2"/>
  <c r="V50" i="2"/>
  <c r="AK50" i="2"/>
  <c r="AU50" i="2"/>
  <c r="U51" i="2"/>
  <c r="V51" i="2"/>
  <c r="AK51" i="2"/>
  <c r="AU51" i="2"/>
  <c r="U52" i="2"/>
  <c r="V52" i="2"/>
  <c r="AK52" i="2"/>
  <c r="AU52" i="2"/>
  <c r="U53" i="2"/>
  <c r="V53" i="2"/>
  <c r="AK53" i="2"/>
  <c r="AU53" i="2"/>
  <c r="U54" i="2"/>
  <c r="V54" i="2"/>
  <c r="AK54" i="2"/>
  <c r="AU54" i="2"/>
  <c r="U55" i="2"/>
  <c r="V55" i="2"/>
  <c r="AK55" i="2"/>
  <c r="AU55" i="2"/>
  <c r="U56" i="2"/>
  <c r="V56" i="2"/>
  <c r="AK56" i="2"/>
  <c r="AU56" i="2"/>
  <c r="U57" i="2"/>
  <c r="V57" i="2"/>
  <c r="AK57" i="2"/>
  <c r="AU57" i="2"/>
  <c r="U58" i="2"/>
  <c r="V58" i="2"/>
  <c r="AK58" i="2"/>
  <c r="AU58" i="2"/>
  <c r="U59" i="2"/>
  <c r="V59" i="2"/>
  <c r="AK59" i="2"/>
  <c r="AU59" i="2"/>
  <c r="U60" i="2"/>
  <c r="V60" i="2"/>
  <c r="AK60" i="2"/>
  <c r="AU60" i="2"/>
  <c r="U61" i="2"/>
  <c r="V61" i="2"/>
  <c r="AK61" i="2"/>
  <c r="AU61" i="2"/>
  <c r="U62" i="2"/>
  <c r="V62" i="2"/>
  <c r="AK62" i="2"/>
  <c r="AU62" i="2"/>
  <c r="U63" i="2"/>
  <c r="V63" i="2"/>
  <c r="AK63" i="2"/>
  <c r="AU63" i="2"/>
  <c r="U64" i="2"/>
  <c r="V64" i="2"/>
  <c r="AK64" i="2"/>
  <c r="AU64" i="2"/>
  <c r="U65" i="2"/>
  <c r="V65" i="2"/>
  <c r="AK65" i="2"/>
  <c r="AU65" i="2"/>
  <c r="U66" i="2"/>
  <c r="V66" i="2"/>
  <c r="AK66" i="2"/>
  <c r="AU66" i="2"/>
  <c r="U67" i="2"/>
  <c r="V67" i="2"/>
  <c r="AK67" i="2"/>
  <c r="AU67" i="2"/>
  <c r="U68" i="2"/>
  <c r="V68" i="2"/>
  <c r="AK68" i="2"/>
  <c r="AU68" i="2"/>
  <c r="U69" i="2"/>
  <c r="V69" i="2"/>
  <c r="AK69" i="2"/>
  <c r="AU69" i="2"/>
  <c r="U70" i="2"/>
  <c r="V70" i="2"/>
  <c r="AK70" i="2"/>
  <c r="AU70" i="2"/>
  <c r="U71" i="2"/>
  <c r="V71" i="2"/>
  <c r="AK71" i="2"/>
  <c r="AU71" i="2"/>
  <c r="U72" i="2"/>
  <c r="V72" i="2"/>
  <c r="AK72" i="2"/>
  <c r="AU72" i="2"/>
  <c r="U73" i="2"/>
  <c r="V73" i="2"/>
  <c r="AK73" i="2"/>
  <c r="AU73" i="2"/>
  <c r="U74" i="2"/>
  <c r="V74" i="2"/>
  <c r="AK74" i="2"/>
  <c r="AU74" i="2"/>
  <c r="U75" i="2"/>
  <c r="V75" i="2"/>
  <c r="AK75" i="2"/>
  <c r="AU75" i="2"/>
  <c r="U76" i="2"/>
  <c r="V76" i="2"/>
  <c r="AK76" i="2"/>
  <c r="AU76" i="2"/>
  <c r="U77" i="2"/>
  <c r="V77" i="2"/>
  <c r="AK77" i="2"/>
  <c r="AU77" i="2"/>
  <c r="U78" i="2"/>
  <c r="V78" i="2"/>
  <c r="AK78" i="2"/>
  <c r="AU78" i="2"/>
  <c r="U79" i="2"/>
  <c r="V79" i="2"/>
  <c r="AK79" i="2"/>
  <c r="AU79" i="2"/>
  <c r="U80" i="2"/>
  <c r="V80" i="2"/>
  <c r="AK80" i="2"/>
  <c r="AU80" i="2"/>
  <c r="U81" i="2"/>
  <c r="V81" i="2"/>
  <c r="AK81" i="2"/>
  <c r="AU81" i="2"/>
  <c r="U82" i="2"/>
  <c r="V82" i="2"/>
  <c r="AK82" i="2"/>
  <c r="AU82" i="2"/>
  <c r="U83" i="2"/>
  <c r="V83" i="2"/>
  <c r="AK83" i="2"/>
  <c r="AU83" i="2"/>
  <c r="U84" i="2"/>
  <c r="V84" i="2"/>
  <c r="AK84" i="2"/>
  <c r="AU84" i="2"/>
  <c r="U85" i="2"/>
  <c r="V85" i="2"/>
  <c r="AK85" i="2"/>
  <c r="AU85" i="2"/>
  <c r="U86" i="2"/>
  <c r="V86" i="2"/>
  <c r="AK86" i="2"/>
  <c r="AU86" i="2"/>
  <c r="U87" i="2"/>
  <c r="V87" i="2"/>
  <c r="AK87" i="2"/>
  <c r="AU87" i="2"/>
  <c r="U88" i="2"/>
  <c r="V88" i="2"/>
  <c r="AK88" i="2"/>
  <c r="AU88" i="2"/>
  <c r="U89" i="2"/>
  <c r="V89" i="2"/>
  <c r="AK89" i="2"/>
  <c r="AU89" i="2"/>
  <c r="U90" i="2"/>
  <c r="V90" i="2"/>
  <c r="AK90" i="2"/>
  <c r="AU90" i="2"/>
  <c r="U91" i="2"/>
  <c r="V91" i="2"/>
  <c r="AK91" i="2"/>
  <c r="AU91" i="2"/>
  <c r="U92" i="2"/>
  <c r="V92" i="2"/>
  <c r="AK92" i="2"/>
  <c r="AU92" i="2"/>
  <c r="U93" i="2"/>
  <c r="V93" i="2"/>
  <c r="AK93" i="2"/>
  <c r="AU93" i="2"/>
  <c r="U94" i="2"/>
  <c r="V94" i="2"/>
  <c r="AK94" i="2"/>
  <c r="AU94" i="2"/>
  <c r="U95" i="2"/>
  <c r="V95" i="2"/>
  <c r="AK95" i="2"/>
  <c r="AU95" i="2"/>
  <c r="U96" i="2"/>
  <c r="V96" i="2"/>
  <c r="AK96" i="2"/>
  <c r="AU96" i="2"/>
  <c r="U97" i="2"/>
  <c r="V97" i="2"/>
  <c r="AK97" i="2"/>
  <c r="AU97" i="2"/>
  <c r="U98" i="2"/>
  <c r="V98" i="2"/>
  <c r="AK98" i="2"/>
  <c r="AU98" i="2"/>
  <c r="U99" i="2"/>
  <c r="V99" i="2"/>
  <c r="AK99" i="2"/>
  <c r="AU99" i="2"/>
  <c r="U100" i="2"/>
  <c r="V100" i="2"/>
  <c r="AK100" i="2"/>
  <c r="AU100" i="2"/>
  <c r="U101" i="2"/>
  <c r="V101" i="2"/>
  <c r="AK101" i="2"/>
  <c r="AU101" i="2"/>
  <c r="U102" i="2"/>
  <c r="V102" i="2"/>
  <c r="AK102" i="2"/>
  <c r="AU102" i="2"/>
  <c r="U103" i="2"/>
  <c r="V103" i="2"/>
  <c r="AK103" i="2"/>
  <c r="AU103" i="2"/>
  <c r="U104" i="2"/>
  <c r="V104" i="2"/>
  <c r="AK104" i="2"/>
  <c r="AU104" i="2"/>
  <c r="U105" i="2"/>
  <c r="V105" i="2"/>
  <c r="AK105" i="2"/>
  <c r="AU105" i="2"/>
  <c r="U106" i="2"/>
  <c r="V106" i="2"/>
  <c r="AK106" i="2"/>
  <c r="AU106" i="2"/>
  <c r="U107" i="2"/>
  <c r="V107" i="2"/>
  <c r="AK107" i="2"/>
  <c r="AU107" i="2"/>
  <c r="U108" i="2"/>
  <c r="V108" i="2"/>
  <c r="AK108" i="2"/>
  <c r="AU108" i="2"/>
  <c r="U109" i="2"/>
  <c r="V109" i="2"/>
  <c r="AK109" i="2"/>
  <c r="AU109" i="2"/>
  <c r="U110" i="2"/>
  <c r="V110" i="2"/>
  <c r="AK110" i="2"/>
  <c r="AU110" i="2"/>
  <c r="U111" i="2"/>
  <c r="V111" i="2"/>
  <c r="AK111" i="2"/>
  <c r="AU111" i="2"/>
  <c r="U112" i="2"/>
  <c r="V112" i="2"/>
  <c r="AK112" i="2"/>
  <c r="AU112" i="2"/>
  <c r="U113" i="2"/>
  <c r="V113" i="2"/>
  <c r="AK113" i="2"/>
  <c r="AU113" i="2"/>
  <c r="AF158" i="2"/>
  <c r="M2" i="7"/>
  <c r="P2" i="7"/>
  <c r="S2" i="7"/>
  <c r="AG158" i="2"/>
  <c r="M3" i="7"/>
  <c r="P3" i="7"/>
  <c r="S3" i="7"/>
  <c r="AH158" i="2"/>
  <c r="M4" i="7"/>
  <c r="P4" i="7"/>
  <c r="S4" i="7"/>
  <c r="AI158" i="2"/>
  <c r="M5" i="7"/>
  <c r="S5" i="7"/>
  <c r="AJ158" i="2"/>
  <c r="M6" i="7"/>
  <c r="S6" i="7"/>
  <c r="S7" i="7"/>
  <c r="S8" i="7"/>
  <c r="U2" i="2"/>
  <c r="V2" i="2"/>
  <c r="AK2" i="2"/>
  <c r="AU2" i="2"/>
  <c r="U114" i="2"/>
  <c r="V114" i="2"/>
  <c r="AK114" i="2"/>
  <c r="AU114" i="2"/>
  <c r="U115" i="2"/>
  <c r="V115" i="2"/>
  <c r="AK115" i="2"/>
  <c r="AU115" i="2"/>
  <c r="U116" i="2"/>
  <c r="V116" i="2"/>
  <c r="AK116" i="2"/>
  <c r="AU116" i="2"/>
  <c r="U117" i="2"/>
  <c r="V117" i="2"/>
  <c r="AK117" i="2"/>
  <c r="AU117" i="2"/>
  <c r="U118" i="2"/>
  <c r="V118" i="2"/>
  <c r="AK118" i="2"/>
  <c r="AU118" i="2"/>
  <c r="U119" i="2"/>
  <c r="V119" i="2"/>
  <c r="AK119" i="2"/>
  <c r="AU119" i="2"/>
  <c r="U120" i="2"/>
  <c r="V120" i="2"/>
  <c r="AK120" i="2"/>
  <c r="AU120" i="2"/>
  <c r="U121" i="2"/>
  <c r="V121" i="2"/>
  <c r="AK121" i="2"/>
  <c r="AU121" i="2"/>
  <c r="U122" i="2"/>
  <c r="V122" i="2"/>
  <c r="AK122" i="2"/>
  <c r="AU122" i="2"/>
  <c r="U123" i="2"/>
  <c r="V123" i="2"/>
  <c r="AK123" i="2"/>
  <c r="AU123" i="2"/>
  <c r="U124" i="2"/>
  <c r="V124" i="2"/>
  <c r="AK124" i="2"/>
  <c r="AU124" i="2"/>
  <c r="U125" i="2"/>
  <c r="V125" i="2"/>
  <c r="AK125" i="2"/>
  <c r="AU125" i="2"/>
  <c r="U126" i="2"/>
  <c r="V126" i="2"/>
  <c r="AK126" i="2"/>
  <c r="AU126" i="2"/>
  <c r="U127" i="2"/>
  <c r="V127" i="2"/>
  <c r="AK127" i="2"/>
  <c r="AU127" i="2"/>
  <c r="U128" i="2"/>
  <c r="V128" i="2"/>
  <c r="AK128" i="2"/>
  <c r="AU128" i="2"/>
  <c r="U129" i="2"/>
  <c r="V129" i="2"/>
  <c r="AK129" i="2"/>
  <c r="AU129" i="2"/>
  <c r="U130" i="2"/>
  <c r="V130" i="2"/>
  <c r="AK130" i="2"/>
  <c r="AU130" i="2"/>
  <c r="U131" i="2"/>
  <c r="V131" i="2"/>
  <c r="AK131" i="2"/>
  <c r="AU131" i="2"/>
  <c r="U132" i="2"/>
  <c r="V132" i="2"/>
  <c r="AK132" i="2"/>
  <c r="AU132" i="2"/>
  <c r="U133" i="2"/>
  <c r="V133" i="2"/>
  <c r="AK133" i="2"/>
  <c r="AU133" i="2"/>
  <c r="U134" i="2"/>
  <c r="V134" i="2"/>
  <c r="AK134" i="2"/>
  <c r="AU134" i="2"/>
  <c r="U135" i="2"/>
  <c r="V135" i="2"/>
  <c r="AK135" i="2"/>
  <c r="AU135" i="2"/>
  <c r="U136" i="2"/>
  <c r="V136" i="2"/>
  <c r="AK136" i="2"/>
  <c r="AU136" i="2"/>
  <c r="U137" i="2"/>
  <c r="V137" i="2"/>
  <c r="AK137" i="2"/>
  <c r="AU137" i="2"/>
  <c r="U138" i="2"/>
  <c r="V138" i="2"/>
  <c r="AK138" i="2"/>
  <c r="AU138" i="2"/>
  <c r="U139" i="2"/>
  <c r="V139" i="2"/>
  <c r="AK139" i="2"/>
  <c r="AU139" i="2"/>
  <c r="U140" i="2"/>
  <c r="V140" i="2"/>
  <c r="AK140" i="2"/>
  <c r="AU140" i="2"/>
  <c r="U141" i="2"/>
  <c r="V141" i="2"/>
  <c r="AK141" i="2"/>
  <c r="AU141" i="2"/>
  <c r="U142" i="2"/>
  <c r="V142" i="2"/>
  <c r="AK142" i="2"/>
  <c r="AU142" i="2"/>
  <c r="U143" i="2"/>
  <c r="V143" i="2"/>
  <c r="AK143" i="2"/>
  <c r="AU143" i="2"/>
  <c r="U144" i="2"/>
  <c r="V144" i="2"/>
  <c r="AK144" i="2"/>
  <c r="AU144" i="2"/>
  <c r="U145" i="2"/>
  <c r="V145" i="2"/>
  <c r="AK145" i="2"/>
  <c r="AU145" i="2"/>
  <c r="U146" i="2"/>
  <c r="V146" i="2"/>
  <c r="AK146" i="2"/>
  <c r="AU146" i="2"/>
  <c r="U147" i="2"/>
  <c r="V147" i="2"/>
  <c r="AK147" i="2"/>
  <c r="AU147" i="2"/>
  <c r="U148" i="2"/>
  <c r="V148" i="2"/>
  <c r="AU148" i="2"/>
  <c r="U149" i="2"/>
  <c r="V149" i="2"/>
  <c r="AK149" i="2"/>
  <c r="AU149" i="2"/>
  <c r="U150" i="2"/>
  <c r="V150" i="2"/>
  <c r="AK150" i="2"/>
  <c r="AU150" i="2"/>
  <c r="U151" i="2"/>
  <c r="V151" i="2"/>
  <c r="AK151" i="2"/>
  <c r="AU151" i="2"/>
  <c r="U152" i="2"/>
  <c r="V152" i="2"/>
  <c r="AK152" i="2"/>
  <c r="AU152" i="2"/>
  <c r="U153" i="2"/>
  <c r="V153" i="2"/>
  <c r="AK153" i="2"/>
  <c r="AU153" i="2"/>
  <c r="U154" i="2"/>
  <c r="V154" i="2"/>
  <c r="AK154" i="2"/>
  <c r="AU154" i="2"/>
  <c r="U155" i="2"/>
  <c r="V155" i="2"/>
  <c r="AK155" i="2"/>
  <c r="AU155" i="2"/>
  <c r="U156" i="2"/>
  <c r="V156" i="2"/>
  <c r="AK156" i="2"/>
  <c r="AU156" i="2"/>
  <c r="U157" i="2"/>
  <c r="V157" i="2"/>
  <c r="AK157" i="2"/>
  <c r="AU157" i="2"/>
  <c r="V158" i="2"/>
  <c r="W158" i="2"/>
  <c r="X158" i="2"/>
  <c r="Y158" i="2"/>
  <c r="Z158" i="2"/>
  <c r="AA158" i="2"/>
  <c r="AB158" i="2"/>
  <c r="AC158" i="2"/>
  <c r="AL158" i="2"/>
  <c r="AM158" i="2"/>
  <c r="AN158" i="2"/>
  <c r="AO158" i="2"/>
  <c r="AP158" i="2"/>
  <c r="AQ158" i="2"/>
  <c r="AR158" i="2"/>
  <c r="AS158" i="2"/>
  <c r="AV158" i="2"/>
  <c r="AW158" i="2"/>
  <c r="AX158" i="2"/>
</calcChain>
</file>

<file path=xl/sharedStrings.xml><?xml version="1.0" encoding="utf-8"?>
<sst xmlns="http://schemas.openxmlformats.org/spreadsheetml/2006/main" count="1836" uniqueCount="578">
  <si>
    <t>Total</t>
  </si>
  <si>
    <t>Small</t>
  </si>
  <si>
    <t>Up Next</t>
  </si>
  <si>
    <t>RED</t>
  </si>
  <si>
    <t>View</t>
  </si>
  <si>
    <t>Y</t>
  </si>
  <si>
    <t>Perusall R&amp;D</t>
  </si>
  <si>
    <t>Micro</t>
  </si>
  <si>
    <t>Daniel</t>
  </si>
  <si>
    <t>Pre-hiring score to Performance Coorelation</t>
  </si>
  <si>
    <t>Watch List: Product Development</t>
  </si>
  <si>
    <t>x</t>
  </si>
  <si>
    <t>Large</t>
  </si>
  <si>
    <t>Instruction: Placeholder 2</t>
  </si>
  <si>
    <t>Instruction: Placeholder 1</t>
  </si>
  <si>
    <t>Redeveloment and Improvement Project Analysis</t>
  </si>
  <si>
    <t>Analysis of Cheating</t>
  </si>
  <si>
    <t>Refine Instructor Survey</t>
  </si>
  <si>
    <t>Assist Online Instruction with Survey Practices</t>
  </si>
  <si>
    <t>Oct</t>
  </si>
  <si>
    <t>Lynne</t>
  </si>
  <si>
    <t>Complete</t>
  </si>
  <si>
    <t>Curtis</t>
  </si>
  <si>
    <t>Online Student Grievance Process</t>
  </si>
  <si>
    <t>Medium</t>
  </si>
  <si>
    <t>Due Dates</t>
  </si>
  <si>
    <t>Joshua</t>
  </si>
  <si>
    <t>Walk-in Service: Product Develoment</t>
  </si>
  <si>
    <t>Develop Course Health Flags</t>
  </si>
  <si>
    <t>Academic Start Student Feedback Evaluation Strategy</t>
  </si>
  <si>
    <t>Understand Online Program Attrition</t>
  </si>
  <si>
    <t>Archived</t>
  </si>
  <si>
    <t>Mentoring Technology Solution</t>
  </si>
  <si>
    <t>Activity-level Feedback: Product Develoment</t>
  </si>
  <si>
    <t>Feb</t>
  </si>
  <si>
    <t>Ben</t>
  </si>
  <si>
    <t>Student Profiles</t>
  </si>
  <si>
    <t>Instructor Feedback</t>
  </si>
  <si>
    <t>Strategies for Measuring Teaching and Learning</t>
  </si>
  <si>
    <t>Student Community</t>
  </si>
  <si>
    <t>Student Ownership</t>
  </si>
  <si>
    <t>TOA Best Practices R&amp;D</t>
  </si>
  <si>
    <t>Steve</t>
  </si>
  <si>
    <t>P&amp;C</t>
  </si>
  <si>
    <t>Improve Transcript Process</t>
  </si>
  <si>
    <t>Red</t>
  </si>
  <si>
    <t>In Progress</t>
  </si>
  <si>
    <t>Synchronous/Asynchronous Preference and Personality</t>
  </si>
  <si>
    <t>Competency-based Education</t>
  </si>
  <si>
    <t>Mar</t>
  </si>
  <si>
    <t>Teaching Assistants Round 2</t>
  </si>
  <si>
    <t>Jan</t>
  </si>
  <si>
    <t>TA Round 2</t>
  </si>
  <si>
    <t>Yellow</t>
  </si>
  <si>
    <t>Remote Proctoring Evaluation</t>
  </si>
  <si>
    <t>Apr</t>
  </si>
  <si>
    <t>Course Council Data portal</t>
  </si>
  <si>
    <t>Dec</t>
  </si>
  <si>
    <t>Green</t>
  </si>
  <si>
    <t>Video Content in Online Courses</t>
  </si>
  <si>
    <t>Sep</t>
  </si>
  <si>
    <t>Live Course Review Strategy</t>
  </si>
  <si>
    <t>Nov</t>
  </si>
  <si>
    <t>Bio 264/265 Pass-rate Evaluation</t>
  </si>
  <si>
    <t>Carry</t>
  </si>
  <si>
    <t>On Hold</t>
  </si>
  <si>
    <t>I-Learn 3.0 Usability Task Force</t>
  </si>
  <si>
    <t>Survey Policy Evaluation</t>
  </si>
  <si>
    <t>Course Council Health Evaluation</t>
  </si>
  <si>
    <t>EnglishConnect Pilot Evaluation</t>
  </si>
  <si>
    <t>Product Development: Pilot Evaluation</t>
  </si>
  <si>
    <t>Aaron</t>
  </si>
  <si>
    <t>Data</t>
  </si>
  <si>
    <t>BYUI LMS Grades added to the DW</t>
  </si>
  <si>
    <t>Joel</t>
  </si>
  <si>
    <t>OCR-M Added to the Data Warehouse</t>
  </si>
  <si>
    <t>Alan</t>
  </si>
  <si>
    <t>Academic Start Program Evaluation</t>
  </si>
  <si>
    <t>Data Validation &amp; Exploration</t>
  </si>
  <si>
    <t>BYUI LMS Instructor Usage added to the DW</t>
  </si>
  <si>
    <t>Outcomes and Assessment Improvement</t>
  </si>
  <si>
    <t>Student milestones added to the DW</t>
  </si>
  <si>
    <t>Evaluation</t>
  </si>
  <si>
    <t>R&amp;D: Big Bet</t>
  </si>
  <si>
    <t>R&amp;D: Safe</t>
  </si>
  <si>
    <t>Initiatives Impact Score</t>
  </si>
  <si>
    <t>Other2</t>
  </si>
  <si>
    <t>Tools</t>
  </si>
  <si>
    <t>Student Experience</t>
  </si>
  <si>
    <t>Reduce Cost</t>
  </si>
  <si>
    <t>*Quality Course Design (Ben)</t>
  </si>
  <si>
    <t>*Quality Instruction (Josh)</t>
  </si>
  <si>
    <t>*Measuring T&amp;L (Steve)</t>
  </si>
  <si>
    <t>*Program Eval (Curtis)</t>
  </si>
  <si>
    <t>*Learning Model (Daniel)</t>
  </si>
  <si>
    <t>Org Impact Score</t>
  </si>
  <si>
    <t>Other</t>
  </si>
  <si>
    <t>Campus</t>
  </si>
  <si>
    <t>PW</t>
  </si>
  <si>
    <t>CurrDev</t>
  </si>
  <si>
    <t>Online Learning</t>
  </si>
  <si>
    <t>Bang for Buck</t>
  </si>
  <si>
    <t>Up Next Priority</t>
  </si>
  <si>
    <t>EH</t>
  </si>
  <si>
    <t>SW</t>
  </si>
  <si>
    <t>CO</t>
  </si>
  <si>
    <t>AB</t>
  </si>
  <si>
    <t>JH</t>
  </si>
  <si>
    <t>CH</t>
  </si>
  <si>
    <t>DB</t>
  </si>
  <si>
    <t>Planned Total Hrs*</t>
  </si>
  <si>
    <t>Duration</t>
  </si>
  <si>
    <t>End Date*</t>
  </si>
  <si>
    <t>Start Date*</t>
  </si>
  <si>
    <t>Start Year*</t>
  </si>
  <si>
    <t>Start Month*</t>
  </si>
  <si>
    <t>Sponsor*</t>
  </si>
  <si>
    <t>Sem Complete</t>
  </si>
  <si>
    <t>% Complete</t>
  </si>
  <si>
    <t>Project Health</t>
  </si>
  <si>
    <t>Scope</t>
  </si>
  <si>
    <t>Modified</t>
  </si>
  <si>
    <t>Status</t>
  </si>
  <si>
    <t>Lead</t>
  </si>
  <si>
    <t>Team</t>
  </si>
  <si>
    <t>Details</t>
  </si>
  <si>
    <t>Trello</t>
  </si>
  <si>
    <t>Title</t>
  </si>
  <si>
    <t>MmDAQYPQ</t>
  </si>
  <si>
    <t>UYFU40tt</t>
  </si>
  <si>
    <t>mlDV9CQ8</t>
  </si>
  <si>
    <t>94bb848185b6cbcdf69367850bc38df61903d14482feed30fce38b24ef4acb7f</t>
  </si>
  <si>
    <t>1d14d1422d281ee160b3780ed02e8432</t>
  </si>
  <si>
    <t>data</t>
  </si>
  <si>
    <t>JD</t>
  </si>
  <si>
    <t>Aug</t>
  </si>
  <si>
    <t>University-wide</t>
  </si>
  <si>
    <t>Curtis Henrie</t>
  </si>
  <si>
    <t>Jul</t>
  </si>
  <si>
    <t>Christy</t>
  </si>
  <si>
    <t>Rob</t>
  </si>
  <si>
    <t>Executive Office</t>
  </si>
  <si>
    <t>Daniel Balls</t>
  </si>
  <si>
    <t>Jun</t>
  </si>
  <si>
    <t>Emily</t>
  </si>
  <si>
    <t>Multiple</t>
  </si>
  <si>
    <t>Online Programs</t>
  </si>
  <si>
    <t>None</t>
  </si>
  <si>
    <t>Steve Willis</t>
  </si>
  <si>
    <t>May</t>
  </si>
  <si>
    <t>Jumbo</t>
  </si>
  <si>
    <t>Matt</t>
  </si>
  <si>
    <t>Employment and Sched</t>
  </si>
  <si>
    <t>Online-wide</t>
  </si>
  <si>
    <t>Low</t>
  </si>
  <si>
    <t>Joshual Holt</t>
  </si>
  <si>
    <t>Course Improvement</t>
  </si>
  <si>
    <t>Aaron Ball</t>
  </si>
  <si>
    <t>Strategy 3</t>
  </si>
  <si>
    <t>Pathway</t>
  </si>
  <si>
    <t>Review</t>
  </si>
  <si>
    <t>Peter</t>
  </si>
  <si>
    <t>Campus CurrDev</t>
  </si>
  <si>
    <t>Curriculum Development</t>
  </si>
  <si>
    <t>High</t>
  </si>
  <si>
    <t>Emily Herman</t>
  </si>
  <si>
    <t>Strategy 2</t>
  </si>
  <si>
    <t>Eric</t>
  </si>
  <si>
    <t>Online CurrDev</t>
  </si>
  <si>
    <t>Student Services</t>
  </si>
  <si>
    <t>Christy Owens</t>
  </si>
  <si>
    <t>Strategy 1</t>
  </si>
  <si>
    <t>Instruction</t>
  </si>
  <si>
    <t>Impact Value</t>
  </si>
  <si>
    <t>Employee Breakdown</t>
  </si>
  <si>
    <t>Strategic Area Breakdown</t>
  </si>
  <si>
    <t>Client Breakdown</t>
  </si>
  <si>
    <t>Year</t>
  </si>
  <si>
    <t>Month</t>
  </si>
  <si>
    <t>Health</t>
  </si>
  <si>
    <t>Steward</t>
  </si>
  <si>
    <t>Sponsor</t>
  </si>
  <si>
    <t>Department</t>
  </si>
  <si>
    <t>Area</t>
  </si>
  <si>
    <t>Hours allocated to each part of the balanced portfolio (Evaluation, R&amp;D: big bet, safe bet).</t>
  </si>
  <si>
    <t>Hours allocated to each customer</t>
  </si>
  <si>
    <t>Hours allocated to each initiative</t>
  </si>
  <si>
    <t>3 Graphs</t>
  </si>
  <si>
    <t>This is comlicated. For now, and in the spirit of iterating towards the ideal, I just put hours for each employee on each project. I'll just be able to see what projects they have hours on.</t>
  </si>
  <si>
    <t>As the director, I need to know how many hours are being assigned to each employee for a given time period so that I'm not overloading/underloading them.</t>
  </si>
  <si>
    <t>Not possible until we identify strategic areas. We can them map projects to areas. For now, I put placeholders for strategic areas (SA) so I can allocate time, similar to how I'm breaking down hours for each team member.</t>
  </si>
  <si>
    <t>As the director, I need to know what projects (and how many hours) we are assigning to each strategic area so I can ensure we have a properly balanced portfolio of efforts.</t>
  </si>
  <si>
    <t>Use data tab. Sort and filter as needed.</t>
  </si>
  <si>
    <t>As the director, I need to know what projects are assigned to each area so I can show how we are serving our customers and ensure a proper balance between areas.</t>
  </si>
  <si>
    <t>How</t>
  </si>
  <si>
    <t>Questions</t>
  </si>
  <si>
    <t>5846fb7cd4cfc4582ed01fcd</t>
  </si>
  <si>
    <t>Automated Monthly Testing for all Dependent Code</t>
  </si>
  <si>
    <t>582a561a490388c5b0366a9f</t>
  </si>
  <si>
    <t>Make templatechanger UI friendly</t>
  </si>
  <si>
    <t>5810bd9773e8a38e70708adf</t>
  </si>
  <si>
    <t>OCR word scanner in pages and pdf</t>
  </si>
  <si>
    <t>57d9e5342b6b746d5a78208e</t>
  </si>
  <si>
    <t>trello data for student tracking</t>
  </si>
  <si>
    <t>581a0c4b3758c1d877b7d1ea</t>
  </si>
  <si>
    <t>make a HTML5 video player support for FLV videos.</t>
  </si>
  <si>
    <t>581a0c660195e7ec7ddef7dd</t>
  </si>
  <si>
    <t>customize a html5 video player for any video tags in D2L?</t>
  </si>
  <si>
    <t>580a505d15bfea75bd458e6f</t>
  </si>
  <si>
    <t>Caption ripper</t>
  </si>
  <si>
    <t>5824143de8a240ed632374d5</t>
  </si>
  <si>
    <t>Develop mobile applications as external services to IL3 and ease any process.</t>
  </si>
  <si>
    <t>582dd8f35fb233fb9a702753</t>
  </si>
  <si>
    <t>Make an accessibility tool</t>
  </si>
  <si>
    <t>586e822c5623f7b9b9d97068</t>
  </si>
  <si>
    <t>Group discussion updater</t>
  </si>
  <si>
    <t>586e824395c9110f8f4b02d9</t>
  </si>
  <si>
    <t>Course Variables</t>
  </si>
  <si>
    <t>586e8211c40c6179b08c8023</t>
  </si>
  <si>
    <t>Video Streamlining and Standardization</t>
  </si>
  <si>
    <t>586e874e3a0ae6b842cc61cc</t>
  </si>
  <si>
    <t>Chrome Extention For Instructors</t>
  </si>
  <si>
    <t>5812598e67f1b181cda154a9</t>
  </si>
  <si>
    <t>Student Groups to CSV</t>
  </si>
  <si>
    <t>58bfd628c92bf1b7d7796408</t>
  </si>
  <si>
    <t>Script that sets up a student work station</t>
  </si>
  <si>
    <t>591e2595f4376a4947eccf42</t>
  </si>
  <si>
    <t>use D3's circle packer to navigate a course</t>
  </si>
  <si>
    <t>591cc82be44068235fb5a767</t>
  </si>
  <si>
    <t>Josh's phone to out fount</t>
  </si>
  <si>
    <t>591cc83c013f402323a42e0e</t>
  </si>
  <si>
    <t>Email people that could call that phone</t>
  </si>
  <si>
    <t>591cc86e8105efbbf2c7ed3b</t>
  </si>
  <si>
    <t>move web cam out there</t>
  </si>
  <si>
    <t>591cc931a4ed8f1391ed2333</t>
  </si>
  <si>
    <t>talk about scrum meeings</t>
  </si>
  <si>
    <t>591cc93f93bd33640ac29548</t>
  </si>
  <si>
    <t>talk about team membership</t>
  </si>
  <si>
    <t>591ccc293409fdb7a7afae9b</t>
  </si>
  <si>
    <t>what people should do if they have time</t>
  </si>
  <si>
    <t>591ccc351c5d9e1baf04549a</t>
  </si>
  <si>
    <t>What trello cards all should look like</t>
  </si>
  <si>
    <t>591ccd91db2896639ff123b0</t>
  </si>
  <si>
    <t>Call Sister Orem about the presure lab</t>
  </si>
  <si>
    <t>591cce4e6a3087c7dcae5d4d</t>
  </si>
  <si>
    <t>think about leaving the tablet</t>
  </si>
  <si>
    <t>591cce68737436819b727af6</t>
  </si>
  <si>
    <t>make secdule of when I am working</t>
  </si>
  <si>
    <t>591cd058500e350509271b84</t>
  </si>
  <si>
    <t>Fix Trello for with I know</t>
  </si>
  <si>
    <t>595d418ddcc17b17a9c73b63</t>
  </si>
  <si>
    <t>test</t>
  </si>
  <si>
    <t>580a4ba59d0bf2a689cb5956</t>
  </si>
  <si>
    <t>Hack-a-thon</t>
  </si>
  <si>
    <t>580a4d77bd30ceed319d40e3</t>
  </si>
  <si>
    <t>Make a Hybrid moble app</t>
  </si>
  <si>
    <t>5810bcd67e6c6775e0028039</t>
  </si>
  <si>
    <t>Make a desktop application using electron</t>
  </si>
  <si>
    <t>580a4c73577ff2660daa7833</t>
  </si>
  <si>
    <t>JS iffe modules</t>
  </si>
  <si>
    <t>58c8de35dc1a91f9779dcc9b</t>
  </si>
  <si>
    <t>Policies to make</t>
  </si>
  <si>
    <t>580a469b6d646e4a8f0b1155</t>
  </si>
  <si>
    <t>Vagrant Development environments</t>
  </si>
  <si>
    <t>580a47c4f9f1460059fa6e02</t>
  </si>
  <si>
    <t>Connect Web Services Zapier.com</t>
  </si>
  <si>
    <t>5834ef989f44a31e868e583d</t>
  </si>
  <si>
    <t>.jsbeautifyrc</t>
  </si>
  <si>
    <t>5834efb6683c6f7386a75dba</t>
  </si>
  <si>
    <t>ESLint settings file</t>
  </si>
  <si>
    <t>Ideas - Tech Ops Dev</t>
  </si>
  <si>
    <t>https://trello.com/c/Se5pRkw4/31-email-people-that-could-call-that-phone</t>
  </si>
  <si>
    <t>https://trello.com/c/FPRiqFYf/32-move-web-cam-out-there</t>
  </si>
  <si>
    <t>https://trello.com/c/JQugGCBO/33-talk-about-scrum-meeings</t>
  </si>
  <si>
    <t>https://trello.com/c/EXD9ItO7/34-talk-about-team-membership</t>
  </si>
  <si>
    <t>https://trello.com/c/56OkjX1p/35-what-people-should-do-if-they-have-time</t>
  </si>
  <si>
    <t>https://trello.com/c/myQn9hhT/36-what-trello-cards-all-should-look-like</t>
  </si>
  <si>
    <t>https://trello.com/c/kB8tGTIY/37-call-sister-orem-about-the-presure-lab</t>
  </si>
  <si>
    <t>https://trello.com/c/Q6F1OrKN/38-think-about-leaving-the-tablet</t>
  </si>
  <si>
    <t>https://trello.com/c/xXNwp3Go/39-make-secdule-of-when-i-am-working</t>
  </si>
  <si>
    <t>https://trello.com/c/PgcnGbWY/40-fix-trello-for-with-i-know</t>
  </si>
  <si>
    <t>https://trello.com/c/DdGECzkE/42-test</t>
  </si>
  <si>
    <t>https://trello.com/c/wZt2Y1Gw/3-hack-a-thon</t>
  </si>
  <si>
    <t>https://trello.com/c/wbuIBLs9/5-make-a-hybrid-moble-app</t>
  </si>
  <si>
    <t>https://trello.com/c/VjeisGed/10-make-a-desktop-application-using-electron</t>
  </si>
  <si>
    <t>https://trello.com/c/b2UbvoxW/4-js-iffe-modules</t>
  </si>
  <si>
    <t>https://trello.com/c/yeWhDK1w/29-policies-to-make</t>
  </si>
  <si>
    <t>https://trello.com/c/SUpPzUjz/1-vagrant-development-environments</t>
  </si>
  <si>
    <t>https://trello.com/c/JGXQbv9d/2-connect-web-services-zapiercom</t>
  </si>
  <si>
    <t>https://trello.com/c/U4JcMm99/21-jsbeautifyrc</t>
  </si>
  <si>
    <t>https://trello.com/c/WdCQFfQe/22-eslint-settings-file</t>
  </si>
  <si>
    <t>574da084eb02cd90f1e40f93</t>
  </si>
  <si>
    <t>Phase Update Letters</t>
  </si>
  <si>
    <t>https://trello.com/c/WkDnPYut/3-phase-update-letters</t>
  </si>
  <si>
    <t>574da09aee8de210433d6535</t>
  </si>
  <si>
    <t>Onboarding System</t>
  </si>
  <si>
    <t>https://trello.com/c/AaBy2JOn/4-onboarding-system</t>
  </si>
  <si>
    <t>574da0a38ab033e3d6b165c5</t>
  </si>
  <si>
    <t>ADA Project</t>
  </si>
  <si>
    <t>https://trello.com/c/6unNygLz/5-ada-project</t>
  </si>
  <si>
    <t>574da0b4016164a1b613d563</t>
  </si>
  <si>
    <t>Maintenance Training Polish</t>
  </si>
  <si>
    <t>https://trello.com/c/KAFvRoq9/6-maintenance-training-polish</t>
  </si>
  <si>
    <t>574da0be4a307cd7f1e1f349</t>
  </si>
  <si>
    <t>Setup Training Enhancement</t>
  </si>
  <si>
    <t>https://trello.com/c/SfUprspC/7-setup-training-enhancement</t>
  </si>
  <si>
    <t>574da10e78062278bfa78963</t>
  </si>
  <si>
    <t>Coming-Out-of-Pilot Process</t>
  </si>
  <si>
    <t>https://trello.com/c/ScOUl4XF/11-coming-out-of-pilot-process</t>
  </si>
  <si>
    <t>574da11b4ef5f137a35be553</t>
  </si>
  <si>
    <t>Course Lead Tracking</t>
  </si>
  <si>
    <t>https://trello.com/c/nSCa3Hr7/12-course-lead-tracking</t>
  </si>
  <si>
    <t>574da58186ab6420a357d701</t>
  </si>
  <si>
    <t>Maintenance Review Rubric</t>
  </si>
  <si>
    <t>https://trello.com/c/tTvVvDVb/21-maintenance-review-rubric</t>
  </si>
  <si>
    <t>574da76fb8a7d946a36d08a7</t>
  </si>
  <si>
    <t>Rebrand</t>
  </si>
  <si>
    <t>https://trello.com/c/X718Zwl7/24-rebrand</t>
  </si>
  <si>
    <t>574ddb2e59d49624f608a12c</t>
  </si>
  <si>
    <t>Team Meeting Ideas</t>
  </si>
  <si>
    <t>https://trello.com/c/KcwZ0Y20/30-team-meeting-ideas</t>
  </si>
  <si>
    <t>575599ba63c4262e508c32c0</t>
  </si>
  <si>
    <t>Old Site Takedown</t>
  </si>
  <si>
    <t>https://trello.com/c/ggPKB5Ab/31-old-site-takedown</t>
  </si>
  <si>
    <t>574da06b47b0dec5a21362c5</t>
  </si>
  <si>
    <t>Course Council Website (Code)</t>
  </si>
  <si>
    <t>https://trello.com/c/fDYTwUPX/1-course-council-website-code</t>
  </si>
  <si>
    <t>574da1bb0b561977afb2cb75</t>
  </si>
  <si>
    <t>Course Council Website (Design)</t>
  </si>
  <si>
    <t>https://trello.com/c/SqKKiqYE/15-course-council-website-design</t>
  </si>
  <si>
    <t>574da1c497e376f43d72ee4c</t>
  </si>
  <si>
    <t>Course Council Website (Content)</t>
  </si>
  <si>
    <t>https://trello.com/c/R6SmM2rT/16-course-council-website-content</t>
  </si>
  <si>
    <t>574da1548bdb562d5a81cbdb</t>
  </si>
  <si>
    <t>Style Guide</t>
  </si>
  <si>
    <t>https://trello.com/c/17RSoZK8/14-style-guide</t>
  </si>
  <si>
    <t>574da48e77c85654235f8e90</t>
  </si>
  <si>
    <t>Waiting Ticket Policy</t>
  </si>
  <si>
    <t>https://trello.com/c/jftJmu3a/20-waiting-ticket-policy</t>
  </si>
  <si>
    <t>574da8152f4d437e4331be01</t>
  </si>
  <si>
    <t>Level 3 Training</t>
  </si>
  <si>
    <t>https://trello.com/c/aEOctTw2/27-level-3-training</t>
  </si>
  <si>
    <t>5756eca0e2e89fc4d3617891</t>
  </si>
  <si>
    <t>Sharepoint Folder</t>
  </si>
  <si>
    <t>https://trello.com/c/DGtVJWrX/32-sharepoint-folder</t>
  </si>
  <si>
    <t>574da6630a5129037c29101a</t>
  </si>
  <si>
    <t>The Role of the Online Instructor</t>
  </si>
  <si>
    <t>https://trello.com/c/WY16Ydcq/22-the-role-of-the-online-instructor</t>
  </si>
  <si>
    <t>574da6691c93598023f98002</t>
  </si>
  <si>
    <t>Textbook Changes</t>
  </si>
  <si>
    <t>https://trello.com/c/zflq66D1/23-textbook-changes</t>
  </si>
  <si>
    <t>574da0d643a8cb6717cc9182</t>
  </si>
  <si>
    <t>Spring 2016 Newsletter</t>
  </si>
  <si>
    <t>https://trello.com/c/F1rBxWKe/8-spring-2016-newsletter</t>
  </si>
  <si>
    <t>574da14f1362ff64b1ba20de</t>
  </si>
  <si>
    <t>Glossary</t>
  </si>
  <si>
    <t>https://trello.com/c/bnRhzDzy/13-glossary</t>
  </si>
  <si>
    <t>574db43c165e3d247c613732</t>
  </si>
  <si>
    <t>Working in a Course Council</t>
  </si>
  <si>
    <t>https://trello.com/c/Fo6ZW2ug/28-working-in-a-course-council</t>
  </si>
  <si>
    <t>574db460355b3b5404d19f2b</t>
  </si>
  <si>
    <t>Scaled, What now?</t>
  </si>
  <si>
    <t>https://trello.com/c/3huwAcnB/29-scaled-what-now</t>
  </si>
  <si>
    <t>574da0e8fe0dd6721ac62d50</t>
  </si>
  <si>
    <t>Pilot Transition Meeting</t>
  </si>
  <si>
    <t>https://trello.com/c/aPQMXTnN/9-pilot-transition-meeting</t>
  </si>
  <si>
    <t>574da0fbfdb9aeac17185640</t>
  </si>
  <si>
    <t>Preview Meetings</t>
  </si>
  <si>
    <t>https://trello.com/c/0Kblfvyj/10-preview-meetings</t>
  </si>
  <si>
    <t>574da0742d81b215b6161f7a</t>
  </si>
  <si>
    <t>Pocket Site</t>
  </si>
  <si>
    <t>https://trello.com/c/cnJp56j3/2-pocket-site</t>
  </si>
  <si>
    <t>574da3bd8ff6d9f212f66412</t>
  </si>
  <si>
    <t>Roadmap</t>
  </si>
  <si>
    <t>https://trello.com/c/Bd4jhHrx/17-roadmap</t>
  </si>
  <si>
    <t>574da42879d7f9067d80a808</t>
  </si>
  <si>
    <t>Online Course Maintenance Policy</t>
  </si>
  <si>
    <t>https://trello.com/c/smWrr1CC/18-online-course-maintenance-policy</t>
  </si>
  <si>
    <t>574da4592dadaf7a01ff6637</t>
  </si>
  <si>
    <t>Integrated Curriculum</t>
  </si>
  <si>
    <t>https://trello.com/c/9D2u3JOS/19-integrated-curriculum</t>
  </si>
  <si>
    <t>574da80a7821109ef10c746d</t>
  </si>
  <si>
    <t>Level 1 Updates (Part 1)</t>
  </si>
  <si>
    <t>https://trello.com/c/970dvUYv/25-level-1-updates-part-1</t>
  </si>
  <si>
    <t>574da80d25a81c424383d188</t>
  </si>
  <si>
    <t>Level 2 training</t>
  </si>
  <si>
    <t>https://trello.com/c/STk3sH9X/26-level-2-training</t>
  </si>
  <si>
    <t>The Big Picture</t>
  </si>
  <si>
    <t>Ideas</t>
  </si>
  <si>
    <t>Emily's Review List</t>
  </si>
  <si>
    <t>Needs Approval</t>
  </si>
  <si>
    <t>Ongoing</t>
  </si>
  <si>
    <t>Completed</t>
  </si>
  <si>
    <t>586e8640fcfde1d8758632b0</t>
  </si>
  <si>
    <t>Archive Videos For AV</t>
  </si>
  <si>
    <t>https://trello.com/c/lL1igKSz/48-archive-videos-for-av</t>
  </si>
  <si>
    <t>581b5ea812215d95cb341b64</t>
  </si>
  <si>
    <t>Gamification for Christina English Course</t>
  </si>
  <si>
    <t>https://trello.com/c/3RCntiVQ/22-gamification-for-christina-english-course</t>
  </si>
  <si>
    <t>57f677327721f3eff99138a5</t>
  </si>
  <si>
    <t>D2L Date Changer</t>
  </si>
  <si>
    <t>https://trello.com/c/YOomKaxM/12-d2l-date-changer</t>
  </si>
  <si>
    <t>57e15c58d15a997a56d9ac2c</t>
  </si>
  <si>
    <t>TA 119 - Leaderboard/Scoreboard for Tech Olympics</t>
  </si>
  <si>
    <t>https://trello.com/c/eUWmzeQy/8-ta-119-leaderboard-scoreboard-for-tech-olympics</t>
  </si>
  <si>
    <t>586e82a29130273af2c14f31</t>
  </si>
  <si>
    <t>ADA Compliance For Videos</t>
  </si>
  <si>
    <t>https://trello.com/c/1BeR43CT/46-ada-compliance-for-videos</t>
  </si>
  <si>
    <t>58b8590f306c21cf2af3e7aa</t>
  </si>
  <si>
    <t>Automate Post-Copy Checks</t>
  </si>
  <si>
    <t>https://trello.com/c/KkVL0qgN/58-automate-post-copy-checks</t>
  </si>
  <si>
    <t>581b59cf0b05f8b1527c084f</t>
  </si>
  <si>
    <t>Multiple Qualtrics Surveys into Single Table</t>
  </si>
  <si>
    <t>https://trello.com/c/h5wFRyLy/19-multiple-qualtrics-surveys-into-single-table</t>
  </si>
  <si>
    <t>58bee152fe3c31367bceea67</t>
  </si>
  <si>
    <t>Reformat Testing Center .csv to be in a format for Brightspace</t>
  </si>
  <si>
    <t>https://trello.com/c/hZXwHgff/59-reformat-testing-center-csv-to-be-in-a-format-for-brightspace</t>
  </si>
  <si>
    <t>58e66cf384159c20392706db</t>
  </si>
  <si>
    <t>Get Course Specialist in Data Portal</t>
  </si>
  <si>
    <t>https://trello.com/c/Xe3FNgWl/63-get-course-specialist-in-data-portal</t>
  </si>
  <si>
    <t>58e66e405a395224ae14e6b0</t>
  </si>
  <si>
    <t>Automate Qualtrics Sync on IT Server</t>
  </si>
  <si>
    <t>https://trello.com/c/bIGV9xvP/65-automate-qualtrics-sync-on-it-server</t>
  </si>
  <si>
    <t>58b84aaeae5e93e93741246c</t>
  </si>
  <si>
    <t>EnglishConnect - LTI Server</t>
  </si>
  <si>
    <t>https://trello.com/c/HfA0LSiP/57-englishconnect-lti-server</t>
  </si>
  <si>
    <t>583dcc5b0aed69fc02f8123b</t>
  </si>
  <si>
    <t>Pressure Lab for Math 110</t>
  </si>
  <si>
    <t>https://trello.com/c/HxouRYGe/37-pressure-lab-for-math-110</t>
  </si>
  <si>
    <t>583c6cdded60cbe75e6a1065</t>
  </si>
  <si>
    <t>Fix Digging Deeper Lists</t>
  </si>
  <si>
    <t>https://trello.com/c/tggENKv9/36-fix-digging-deeper-lists</t>
  </si>
  <si>
    <t>591cd0a585727f135344892c</t>
  </si>
  <si>
    <t>D2L to Canvas Conversion Tool</t>
  </si>
  <si>
    <t>https://trello.com/c/uO8jPECp/68-d2l-to-canvas-conversion-tool</t>
  </si>
  <si>
    <t>581b679db21057280c5c9fc8</t>
  </si>
  <si>
    <t>Analytics for videos in courses</t>
  </si>
  <si>
    <t>https://trello.com/c/aCzwTsWL/26-analytics-for-videos-in-courses</t>
  </si>
  <si>
    <t>5936c956277882bdefa32ccf</t>
  </si>
  <si>
    <t>Link search tool for all courses</t>
  </si>
  <si>
    <t>https://trello.com/c/j6JLXoJa/71-link-search-tool-for-all-courses</t>
  </si>
  <si>
    <t>59485509b0eab4ee678ec92d</t>
  </si>
  <si>
    <t>Check for Turnitin</t>
  </si>
  <si>
    <t>https://trello.com/c/pnzCUPGV/79-check-for-turnitin</t>
  </si>
  <si>
    <t>595d052e7ed8f98c72eed363</t>
  </si>
  <si>
    <t>Where is adobe connect being used in the online reference courses</t>
  </si>
  <si>
    <t>https://trello.com/c/ZaP8X58a/80-where-is-adobe-connect-being-used-in-the-online-reference-courses</t>
  </si>
  <si>
    <t>57d1aa3a3fcab6a9f2056e10</t>
  </si>
  <si>
    <t>Hector Becerril: Avatars in D2L</t>
  </si>
  <si>
    <t>https://trello.com/c/VdTlPdHD/51-hector-becerril-avatars-in-d2l</t>
  </si>
  <si>
    <t>58e66d67c9662d6a66cec5fb</t>
  </si>
  <si>
    <t>Make Barker Gamification Copy-able</t>
  </si>
  <si>
    <t>https://trello.com/c/uf0jjrJn/64-make-barker-gamification-copy-able</t>
  </si>
  <si>
    <t>58405aab2bf4206e7cfb1aa8</t>
  </si>
  <si>
    <t>Full Online Portfolio course search</t>
  </si>
  <si>
    <t>https://trello.com/c/8ABkWQYY/39-full-online-portfolio-course-search</t>
  </si>
  <si>
    <t>5938188f1a5696f57ba2e722</t>
  </si>
  <si>
    <t>get-data-from-canvas</t>
  </si>
  <si>
    <t>https://trello.com/c/8xbvtg78/75-get-data-from-canvas</t>
  </si>
  <si>
    <t>59371e5c1e9576b2111d5dae</t>
  </si>
  <si>
    <t>Delete Page Duplicates (canvas-pagesandfiles)</t>
  </si>
  <si>
    <t>https://trello.com/c/uGarl6Mq/73-delete-page-duplicates-canvas-pagesandfiles</t>
  </si>
  <si>
    <t>5936e5abe69764cc6ef9c72d</t>
  </si>
  <si>
    <t>English Connect: Novice</t>
  </si>
  <si>
    <t>https://trello.com/c/qmQzxe9J/72-english-connect-novice</t>
  </si>
  <si>
    <t>58936a59e37ea428bbe281e5</t>
  </si>
  <si>
    <t>EnglishConnect - UI</t>
  </si>
  <si>
    <t>https://trello.com/c/Y9i7sfEh/53-englishconnect-ui</t>
  </si>
  <si>
    <t>58794287244e31c57c82a295</t>
  </si>
  <si>
    <t>Document All Old Important Code</t>
  </si>
  <si>
    <t>https://trello.com/c/y7wGKLHB/50-document-all-old-important-code</t>
  </si>
  <si>
    <t>586e833b4e17a6b3427f72cb</t>
  </si>
  <si>
    <t>Training, Standards and Project Management</t>
  </si>
  <si>
    <t>https://trello.com/c/MSjlnyU8/47-training-standards-and-project-management</t>
  </si>
  <si>
    <t>58e66cb80ef97c508d1ac450</t>
  </si>
  <si>
    <t>Planet Simulator Rewrite</t>
  </si>
  <si>
    <t>https://trello.com/c/w0PNQBw1/62-planet-simulator-rewrite</t>
  </si>
  <si>
    <t>593ef6661e0ca2a5e89eae66</t>
  </si>
  <si>
    <t>broken-links-nightmare</t>
  </si>
  <si>
    <t>https://trello.com/c/v1ELTEFE/77-broken-links-nightmare</t>
  </si>
  <si>
    <t>5911056244374479a91a064c</t>
  </si>
  <si>
    <t>Parse out URLs and Make Links in the csv-to-table and document it</t>
  </si>
  <si>
    <t>https://trello.com/c/W1Zbd8CX/67-parse-out-urls-and-make-links-in-the-csv-to-table-and-document-it</t>
  </si>
  <si>
    <t>5943e64b8d0e93a6aa298259</t>
  </si>
  <si>
    <t>qualtrics-contact-sync</t>
  </si>
  <si>
    <t>https://trello.com/c/9D4eNx7J/78-qualtrics-contact-sync</t>
  </si>
  <si>
    <t>592ee8787b8fa8f5ed810d55</t>
  </si>
  <si>
    <t>upload-zip-to-canvas</t>
  </si>
  <si>
    <t>https://trello.com/c/RBVzQhGu/70-upload-zip-to-canvas</t>
  </si>
  <si>
    <t>58e66b52f704215fdb8d9362</t>
  </si>
  <si>
    <t>Fix Math 100g and 100l</t>
  </si>
  <si>
    <t>https://trello.com/c/Dn1d2mk5/60-fix-math-100g-and-100l</t>
  </si>
  <si>
    <t>58405e2779214bf7d299352e</t>
  </si>
  <si>
    <t>Make a Broswer Plugin for Internal Use</t>
  </si>
  <si>
    <t>https://trello.com/c/GjYm6F5v/41-make-a-broswer-plugin-for-internal-use</t>
  </si>
  <si>
    <t>58e66e61017ea30655a74706</t>
  </si>
  <si>
    <t>What if Calculator add on</t>
  </si>
  <si>
    <t>https://trello.com/c/qB85jmjU/66-what-if-calculator-add-on</t>
  </si>
  <si>
    <t>592dbe8e27d3644cb3ae86ed</t>
  </si>
  <si>
    <t>d2l-canvas-quicklinks-fixer</t>
  </si>
  <si>
    <t>https://trello.com/c/BjywCPrE/69-d2l-canvas-quicklinks-fixer</t>
  </si>
  <si>
    <t>583c68cccc0663aea7c46578</t>
  </si>
  <si>
    <t>Map Ron's Students to courses</t>
  </si>
  <si>
    <t>https://trello.com/c/jx3joAhB/35-map-rons-students-to-courses</t>
  </si>
  <si>
    <t>59380463b841fcf0f6d833ca</t>
  </si>
  <si>
    <t>automate-course-creation</t>
  </si>
  <si>
    <t>https://trello.com/c/kLUYoBZh/74-automate-course-creation</t>
  </si>
  <si>
    <t>57f676766545716841cd47f7</t>
  </si>
  <si>
    <t>Gamification for Devin Barker</t>
  </si>
  <si>
    <t>https://trello.com/c/WGstSqQB/10-gamification-for-devin-barker</t>
  </si>
  <si>
    <t>581b5ebf0e3ac54c53c0df30</t>
  </si>
  <si>
    <t>English Assessment Tool</t>
  </si>
  <si>
    <t>https://trello.com/c/hUc5AlFh/23-english-assessment-tool</t>
  </si>
  <si>
    <t>Projects - Tech Ops Dev</t>
  </si>
  <si>
    <t>Future Projects</t>
  </si>
  <si>
    <t>Waiting</t>
  </si>
  <si>
    <t>Needs To Be Assigned</t>
  </si>
  <si>
    <t>Proof of Concept Needed</t>
  </si>
  <si>
    <t>Proof of Concept Finished</t>
  </si>
  <si>
    <t>25% Complete</t>
  </si>
  <si>
    <t>50% Complete</t>
  </si>
  <si>
    <t>75% Complete</t>
  </si>
  <si>
    <t>Done</t>
  </si>
  <si>
    <t>On Going Support</t>
  </si>
  <si>
    <t>https://trello.com/c/KbiaUarf/23-automated-monthly-testing-for-all-dependent-code</t>
  </si>
  <si>
    <t>https://trello.com/c/DwDojKoe/19-make-templatechanger-ui-friendly</t>
  </si>
  <si>
    <t>https://trello.com/c/bnGnlCaL/11-ocr-word-scanner-in-pages-and-pdf</t>
  </si>
  <si>
    <t>https://trello.com/c/iLrdo0zC/7-trello-data-for-student-tracking</t>
  </si>
  <si>
    <t>https://trello.com/c/XdLgqgSw/13-make-a-html5-video-player-support-for-flv-videos</t>
  </si>
  <si>
    <t>https://trello.com/c/KtGbguzx/14-customize-a-html5-video-player-for-any-video-tags-in-d2l</t>
  </si>
  <si>
    <t>https://trello.com/c/ZRZGPohc/6-caption-ripper</t>
  </si>
  <si>
    <t>https://trello.com/c/CJJLyCQy/16-develop-mobile-applications-as-external-services-to-il3-and-ease-any-process</t>
  </si>
  <si>
    <t>https://trello.com/c/OQXLdfxL/20-make-an-accessibility-tool</t>
  </si>
  <si>
    <t>https://trello.com/c/5Sle0WHT/24-group-discussion-updater</t>
  </si>
  <si>
    <t>https://trello.com/c/oBj79oyQ/25-course-variables</t>
  </si>
  <si>
    <t>https://trello.com/c/i5dsPch1/26-video-streamlining-and-standardization</t>
  </si>
  <si>
    <t>https://trello.com/c/0gVFBM6M/27-chrome-extention-for-instructors</t>
  </si>
  <si>
    <t>https://trello.com/c/ZAK05ueG/12-student-groups-to-csv</t>
  </si>
  <si>
    <t>https://trello.com/c/tdUKZfuO/28-script-that-sets-up-a-student-work-station</t>
  </si>
  <si>
    <t>https://trello.com/c/p1M5GGkI/41-use-d3s-circle-packer-to-navigate-a-course</t>
  </si>
  <si>
    <t>https://trello.com/c/2qhtC7dp/30-joshs-phone-to-out-fount</t>
  </si>
  <si>
    <t>Project Ideas</t>
  </si>
  <si>
    <t>Admin To Do</t>
  </si>
  <si>
    <t>Fun Ideas</t>
  </si>
  <si>
    <t>Personal Development Ideas</t>
  </si>
  <si>
    <t>Things to Train on</t>
  </si>
  <si>
    <t>Potential Resources</t>
  </si>
  <si>
    <t>Things Every Repository Needs</t>
  </si>
  <si>
    <t>Ben Harker</t>
  </si>
  <si>
    <t>Daniel Green</t>
  </si>
  <si>
    <t>Diddy B</t>
  </si>
  <si>
    <t>Joshua McKinney</t>
  </si>
  <si>
    <t>Arianna Womack</t>
  </si>
  <si>
    <t>Emily Hermann</t>
  </si>
  <si>
    <t>Ashley Stewart</t>
  </si>
  <si>
    <t>Greer Galloway</t>
  </si>
  <si>
    <t>Grey Winert</t>
  </si>
  <si>
    <t>Scott Nicholes</t>
  </si>
  <si>
    <t>Ben Harker | Daniel Green</t>
  </si>
  <si>
    <t>Diddy B | Emily Hermann</t>
  </si>
  <si>
    <t>Emily Hermann | Arianna Womack</t>
  </si>
  <si>
    <t>Rachel Redford | Arianna Womack</t>
  </si>
  <si>
    <t>Emily Hermann | Diddy B | Rachel Redford</t>
  </si>
  <si>
    <t>Emily Hermann | Rachel Redford</t>
  </si>
  <si>
    <t>Arianna Womack | Rachel Redford | Emily Hermann</t>
  </si>
  <si>
    <t>Emily Hermann | Steven Willis</t>
  </si>
  <si>
    <t>Grey Winert | Ben Harker</t>
  </si>
  <si>
    <t>Daniel Green | Grey Winert | Greer Galloway</t>
  </si>
  <si>
    <t>TrelloID</t>
  </si>
  <si>
    <t>Board</t>
  </si>
  <si>
    <t>Bucket/List</t>
  </si>
  <si>
    <t>Assigned</t>
  </si>
  <si>
    <t>5973f39817f330f7d157e4ca</t>
  </si>
  <si>
    <t>Pathway word In the Pathway Reference courses</t>
  </si>
  <si>
    <t>https://trello.com/c/fz8tgf5T/81-pathway-word-in-the-pathway-reference-courses</t>
  </si>
  <si>
    <t>5973f3cb0a45429fd4e58ce1</t>
  </si>
  <si>
    <t>Search for adobe in all online courses</t>
  </si>
  <si>
    <t>https://trello.com/c/qqmeqss3/82-search-for-adobe-in-all-online-courses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</si>
</sst>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fonts count="7" x14ac:knownFonts="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u/>
      <sz val="11"/>
      <color theme="10"/>
      <name val="Calibri"/>
      <family val="2"/>
      <scheme val="minor"/>
    </font>
    <font>
      <sz val="9"/>
      <color theme="1"/>
      <name val="Calibri"/>
      <family val="2"/>
      <scheme val="minor"/>
    </font>
    <font>
      <sz val="12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</fonts>
  <fills count="7">
    <fill>
      <patternFill patternType="none"/>
    </fill>
    <fill>
      <patternFill patternType="gray125"/>
    </fill>
    <fill>
      <patternFill patternType="solid">
        <fgColor rgb="FF00B050"/>
        <bgColor indexed="64"/>
      </patternFill>
    </fill>
    <fill>
      <patternFill patternType="solid">
        <fgColor rgb="FF0070C0"/>
        <bgColor indexed="64"/>
      </patternFill>
    </fill>
    <fill>
      <patternFill patternType="solid">
        <fgColor theme="0" tint="-0.249977111117893"/>
        <bgColor indexed="64"/>
      </patternFill>
    </fill>
    <fill>
      <patternFill patternType="solid">
        <fgColor rgb="FFFFC000"/>
        <bgColor indexed="64"/>
      </patternFill>
    </fill>
    <fill>
      <patternFill patternType="solid">
        <fgColor theme="0" tint="-0.499984740745262"/>
        <bgColor indexed="64"/>
      </patternFill>
    </fill>
  </fills>
  <borders count="3">
    <border>
      <left/>
      <right/>
      <top/>
      <bottom/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/>
      <top/>
      <bottom/>
      <diagonal/>
    </border>
  </borders>
  <cellStyleXfs count="3">
    <xf numFmtId="0" fontId="0" fillId="0" borderId="0"/>
    <xf numFmtId="0" fontId="2" fillId="0" borderId="0" applyNumberFormat="0" applyFill="0" applyBorder="0" applyAlignment="0" applyProtection="0"/>
    <xf numFmtId="0" fontId="4" fillId="0" borderId="0"/>
  </cellStyleXfs>
  <cellXfs count="49">
    <xf numFmtId="0" fontId="0" fillId="0" borderId="0" xfId="0"/>
    <xf numFmtId="0" fontId="1" fillId="0" borderId="0" xfId="0" applyFont="1"/>
    <xf numFmtId="1" fontId="0" fillId="0" borderId="0" xfId="0" applyNumberFormat="1" applyAlignment="1">
      <alignment horizontal="center"/>
    </xf>
    <xf numFmtId="0" fontId="0" fillId="0" borderId="0" xfId="0" applyAlignment="1">
      <alignment horizontal="center"/>
    </xf>
    <xf numFmtId="0" fontId="0" fillId="0" borderId="0" xfId="0" applyAlignment="1">
      <alignment horizontal="left"/>
    </xf>
    <xf numFmtId="0" fontId="0" fillId="0" borderId="0" xfId="0" applyAlignment="1">
      <alignment horizontal="center" vertical="center"/>
    </xf>
    <xf numFmtId="0" fontId="0" fillId="0" borderId="0" xfId="0" applyNumberFormat="1" applyFont="1" applyBorder="1" applyAlignment="1">
      <alignment horizontal="center"/>
    </xf>
    <xf numFmtId="0" fontId="1" fillId="0" borderId="0" xfId="0" applyFont="1" applyAlignment="1">
      <alignment horizontal="center"/>
    </xf>
    <xf numFmtId="0" fontId="0" fillId="0" borderId="0" xfId="0" applyBorder="1" applyAlignment="1">
      <alignment horizontal="center"/>
    </xf>
    <xf numFmtId="0" fontId="1" fillId="0" borderId="0" xfId="0" applyFont="1" applyBorder="1" applyAlignment="1">
      <alignment horizontal="center"/>
    </xf>
    <xf numFmtId="0" fontId="1" fillId="0" borderId="0" xfId="0" applyFont="1" applyBorder="1"/>
    <xf numFmtId="0" fontId="0" fillId="0" borderId="0" xfId="0" applyBorder="1" applyAlignment="1">
      <alignment horizontal="left"/>
    </xf>
    <xf numFmtId="0" fontId="0" fillId="0" borderId="0" xfId="0" applyBorder="1"/>
    <xf numFmtId="0" fontId="0" fillId="0" borderId="0" xfId="0" applyBorder="1" applyAlignment="1">
      <alignment horizontal="center" vertical="center"/>
    </xf>
    <xf numFmtId="0" fontId="1" fillId="0" borderId="1" xfId="0" applyNumberFormat="1" applyFont="1" applyBorder="1" applyAlignment="1">
      <alignment horizontal="center"/>
    </xf>
    <xf numFmtId="0" fontId="0" fillId="0" borderId="0" xfId="0" applyFont="1" applyBorder="1" applyAlignment="1">
      <alignment horizontal="center"/>
    </xf>
    <xf numFmtId="0" fontId="0" fillId="0" borderId="2" xfId="0" applyNumberFormat="1" applyFont="1" applyBorder="1" applyAlignment="1">
      <alignment horizontal="center"/>
    </xf>
    <xf numFmtId="0" fontId="1" fillId="0" borderId="2" xfId="0" applyNumberFormat="1" applyFont="1" applyBorder="1" applyAlignment="1">
      <alignment horizontal="center"/>
    </xf>
    <xf numFmtId="0" fontId="0" fillId="0" borderId="0" xfId="0" applyNumberFormat="1" applyFont="1" applyAlignment="1">
      <alignment horizontal="center"/>
    </xf>
    <xf numFmtId="14" fontId="0" fillId="0" borderId="0" xfId="0" applyNumberFormat="1" applyAlignment="1">
      <alignment horizontal="center"/>
    </xf>
    <xf numFmtId="0" fontId="2" fillId="0" borderId="0" xfId="1" applyAlignment="1">
      <alignment horizontal="center"/>
    </xf>
    <xf numFmtId="0" fontId="0" fillId="0" borderId="2" xfId="0" applyBorder="1"/>
    <xf numFmtId="0" fontId="1" fillId="0" borderId="2" xfId="0" applyFont="1" applyBorder="1" applyAlignment="1">
      <alignment horizontal="center"/>
    </xf>
    <xf numFmtId="0" fontId="0" fillId="0" borderId="2" xfId="0" applyFont="1" applyBorder="1" applyAlignment="1">
      <alignment horizontal="center"/>
    </xf>
    <xf numFmtId="0" fontId="1" fillId="0" borderId="0" xfId="0" applyNumberFormat="1" applyFont="1" applyBorder="1" applyAlignment="1">
      <alignment horizontal="center"/>
    </xf>
    <xf numFmtId="0" fontId="0" fillId="0" borderId="0" xfId="0" applyFont="1" applyAlignment="1">
      <alignment horizontal="center"/>
    </xf>
    <xf numFmtId="0" fontId="0" fillId="0" borderId="0" xfId="0" applyAlignment="1">
      <alignment horizontal="center" vertical="center" wrapText="1"/>
    </xf>
    <xf numFmtId="0" fontId="3" fillId="2" borderId="0" xfId="0" applyFont="1" applyFill="1" applyAlignment="1">
      <alignment horizontal="center" vertical="center" wrapText="1"/>
    </xf>
    <xf numFmtId="0" fontId="3" fillId="3" borderId="1" xfId="0" applyFont="1" applyFill="1" applyBorder="1" applyAlignment="1">
      <alignment horizontal="center" vertical="center" wrapText="1"/>
    </xf>
    <xf numFmtId="0" fontId="3" fillId="3" borderId="0" xfId="0" applyFont="1" applyFill="1" applyBorder="1" applyAlignment="1">
      <alignment horizontal="center" vertical="center" wrapText="1"/>
    </xf>
    <xf numFmtId="0" fontId="3" fillId="3" borderId="2" xfId="0" applyFont="1" applyFill="1" applyBorder="1" applyAlignment="1">
      <alignment horizontal="center" vertical="center" wrapText="1"/>
    </xf>
    <xf numFmtId="0" fontId="3" fillId="2" borderId="2" xfId="0" applyFont="1" applyFill="1" applyBorder="1" applyAlignment="1">
      <alignment horizontal="center" vertical="center" wrapText="1"/>
    </xf>
    <xf numFmtId="0" fontId="0" fillId="4" borderId="0" xfId="0" applyFill="1" applyAlignment="1">
      <alignment horizontal="center" vertical="center" wrapText="1"/>
    </xf>
    <xf numFmtId="0" fontId="0" fillId="5" borderId="0" xfId="0" applyFill="1" applyAlignment="1">
      <alignment horizontal="center" vertical="center" wrapText="1"/>
    </xf>
    <xf numFmtId="0" fontId="0" fillId="6" borderId="0" xfId="0" applyFill="1" applyAlignment="1">
      <alignment horizontal="center" vertical="center" wrapText="1"/>
    </xf>
    <xf numFmtId="0" fontId="0" fillId="4" borderId="0" xfId="0" applyFill="1" applyBorder="1" applyAlignment="1">
      <alignment horizontal="center" vertical="center" wrapText="1"/>
    </xf>
    <xf numFmtId="0" fontId="0" fillId="4" borderId="2" xfId="0" applyFill="1" applyBorder="1" applyAlignment="1">
      <alignment horizontal="center" vertical="center" wrapText="1"/>
    </xf>
    <xf numFmtId="0" fontId="4" fillId="0" borderId="0" xfId="2" applyNumberFormat="1"/>
    <xf numFmtId="0" fontId="0" fillId="0" borderId="0" xfId="0" applyNumberFormat="1"/>
    <xf numFmtId="0" fontId="0" fillId="0" borderId="0" xfId="0" applyAlignment="1">
      <alignment horizontal="left" indent="1"/>
    </xf>
    <xf numFmtId="0" fontId="0" fillId="0" borderId="0" xfId="0" applyAlignment="1">
      <alignment wrapText="1"/>
    </xf>
    <xf numFmtId="0" fontId="0" fillId="0" borderId="0" xfId="0" applyAlignment="1">
      <alignment horizontal="left" vertical="center" indent="6"/>
    </xf>
    <xf numFmtId="0" fontId="0" fillId="0" borderId="0" xfId="0" applyAlignment="1">
      <alignment horizontal="left" vertical="center" indent="3"/>
    </xf>
    <xf numFmtId="0" fontId="1" fillId="0" borderId="0" xfId="0" applyFont="1" applyAlignment="1">
      <alignment wrapText="1"/>
    </xf>
    <xf numFmtId="11" fontId="4" fillId="0" borderId="0" xfId="2" applyNumberFormat="1"/>
    <xf numFmtId="0" fontId="4" fillId="0" borderId="0" xfId="2"/>
    <xf numFmtId="0" fontId="5" fillId="0" borderId="0" xfId="0" applyNumberFormat="1" applyFont="1" applyBorder="1" applyAlignment="1">
      <alignment horizontal="center"/>
    </xf>
    <xf numFmtId="0" fontId="6" fillId="0" borderId="0" xfId="0" applyNumberFormat="1" applyFont="1" applyBorder="1" applyAlignment="1">
      <alignment horizontal="center"/>
    </xf>
    <xf numFmtId="11" fontId="0" fillId="0" borderId="0" xfId="0" applyNumberFormat="1" applyBorder="1" applyAlignment="1">
      <alignment horizontal="center" vertical="center"/>
    </xf>
  </cellXfs>
  <cellStyles count="3">
    <cellStyle name="Hyperlink" xfId="1" builtinId="8"/>
    <cellStyle name="Normal" xfId="0" builtinId="0"/>
    <cellStyle name="Normal 2" xfId="2"/>
  </cellStyles>
  <dxfs count="92"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alignment horizontal="center" vertical="bottom" textRotation="0" wrapText="0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alignment horizontal="center" vertical="bottom" textRotation="0" wrapText="0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alignment horizontal="center" vertical="bottom" textRotation="0" wrapText="0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numFmt numFmtId="0" formatCode="General"/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alignment horizontal="center" vertical="bottom" textRotation="0" wrapText="0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alignment horizontal="center" vertical="bottom" textRotation="0" wrapText="0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alignment horizontal="center" vertical="bottom" textRotation="0" wrapText="0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alignment horizontal="center" vertical="bottom" textRotation="0" wrapText="0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alignment horizontal="center" vertical="bottom" textRotation="0" wrapText="0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alignment horizontal="center" vertical="bottom" textRotation="0" wrapText="0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alignment horizontal="center" vertical="bottom" textRotation="0" wrapText="0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alignment horizontal="center" vertical="bottom" textRotation="0" wrapText="0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alignment horizontal="center" vertical="bottom" textRotation="0" wrapText="0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alignment horizontal="center" vertical="bottom" textRotation="0" wrapText="0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alignment horizontal="center" vertical="bottom" textRotation="0" wrapText="0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alignment horizontal="center" vertical="bottom" textRotation="0" wrapText="0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alignment horizontal="center" vertical="bottom" textRotation="0" wrapText="0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border diagonalUp="0" diagonalDown="0" outline="0">
        <left/>
        <right/>
        <top/>
        <bottom/>
      </border>
    </dxf>
    <dxf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alignment horizontal="left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alignment horizontal="left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border diagonalUp="0" diagonalDown="0" outline="0">
        <left/>
        <right/>
        <top/>
        <bottom/>
      </border>
    </dxf>
    <dxf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alignment horizontal="left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border diagonalUp="0" diagonalDown="0" outline="0">
        <left/>
        <right/>
        <top/>
        <bottom/>
      </border>
    </dxf>
    <dxf>
      <alignment horizontal="left" vertical="bottom" textRotation="0" wrapText="0" indent="0" justifyLastLine="0" shrinkToFit="0" readingOrder="0"/>
    </dxf>
    <dxf>
      <alignment horizontal="left" vertical="bottom" textRotation="0" wrapText="0" indent="0" justifyLastLine="0" shrinkToFit="0" readingOrder="0"/>
    </dxf>
    <dxf>
      <border diagonalUp="0" diagonalDown="0" outline="0">
        <left/>
        <right/>
        <top/>
        <bottom/>
      </border>
    </dxf>
    <dxf>
      <alignment horizontal="center" vertical="center" textRotation="0" wrapText="0" indent="0" justifyLastLine="0" shrinkToFit="0" readingOrder="0"/>
      <border diagonalUp="0" diagonalDown="0" outline="0">
        <left/>
        <right/>
        <top/>
        <bottom/>
      </border>
    </dxf>
    <dxf>
      <alignment horizontal="center" vertical="center" textRotation="0" wrapText="0" indent="0" justifyLastLine="0" shrinkToFit="0" readingOrder="0"/>
      <border diagonalUp="0" diagonalDown="0" outline="0">
        <left/>
        <right/>
        <top/>
        <bottom/>
      </border>
    </dxf>
    <dxf>
      <alignment horizontal="center" vertical="center" textRotation="0" wrapText="0" indent="0" justifyLastLine="0" shrinkToFit="0" readingOrder="0"/>
      <border diagonalUp="0" diagonalDown="0" outline="0">
        <left/>
        <right/>
        <top/>
        <bottom/>
      </border>
    </dxf>
    <dxf>
      <alignment horizontal="center" vertical="center" textRotation="0" wrapText="0" indent="0" justifyLastLine="0" shrinkToFit="0" readingOrder="0"/>
      <border diagonalUp="0" diagonalDown="0" outline="0">
        <left/>
        <right/>
        <top/>
        <bottom/>
      </border>
    </dxf>
    <dxf>
      <alignment horizontal="center" vertical="center" textRotation="0" wrapText="0" indent="0" justifyLastLine="0" shrinkToFit="0" readingOrder="0"/>
      <border diagonalUp="0" diagonalDown="0" outline="0">
        <left/>
        <right/>
        <top/>
        <bottom/>
      </border>
    </dxf>
    <dxf>
      <border diagonalUp="0" diagonalDown="0" outline="0">
        <left/>
        <right/>
        <top/>
        <bottom/>
      </border>
    </dxf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numFmt numFmtId="0" formatCode="General"/>
      <border diagonalUp="0" diagonalDown="0">
        <left style="thin">
          <color indexed="64"/>
        </left>
        <right style="thin">
          <color indexed="64"/>
        </right>
        <top/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numFmt numFmtId="0" formatCode="General"/>
      <alignment horizontal="center" vertical="bottom" textRotation="0" wrapText="0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alignment horizontal="center" vertical="bottom" textRotation="0" wrapText="0" indent="0" justifyLastLine="0" shrinkToFit="0" readingOrder="0"/>
    </dxf>
    <dxf>
      <border diagonalUp="0" diagonalDown="0">
        <left style="thin">
          <color indexed="64"/>
        </left>
        <right/>
        <top/>
        <bottom/>
        <vertical/>
        <horizontal/>
      </border>
    </dxf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font>
        <b val="0"/>
      </font>
      <numFmt numFmtId="0" formatCode="General"/>
      <alignment horizontal="center" vertical="bottom" textRotation="0" wrapText="0" indent="0" justifyLastLine="0" shrinkToFit="0" readingOrder="0"/>
    </dxf>
    <dxf>
      <numFmt numFmtId="1" formatCode="0"/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numFmt numFmtId="19" formatCode="m/d/yyyy"/>
      <alignment horizontal="center" vertical="bottom" textRotation="0" wrapText="0" indent="0" justifyLastLine="0" shrinkToFit="0" readingOrder="0"/>
    </dxf>
    <dxf>
      <alignment horizontal="center" vertical="bottom" textRotation="0" indent="0" justifyLastLine="0" shrinkToFit="0" readingOrder="0"/>
    </dxf>
    <dxf>
      <alignment horizontal="center" vertical="bottom" textRotation="0" indent="0" justifyLastLine="0" shrinkToFit="0" readingOrder="0"/>
    </dxf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alignment horizontal="left" vertical="bottom" textRotation="0" wrapText="0" indent="0" justifyLastLine="0" shrinkToFit="0" readingOrder="0"/>
    </dxf>
    <dxf>
      <alignment horizontal="left" vertical="bottom" textRotation="0" wrapText="0" indent="0" justifyLastLine="0" shrinkToFit="0" readingOrder="0"/>
    </dxf>
    <dxf>
      <alignment horizontal="left" vertical="bottom" textRotation="0" wrapText="0" indent="0" justifyLastLine="0" shrinkToFit="0" readingOrder="0"/>
    </dxf>
    <dxf>
      <alignment horizontal="left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textRotation="0" indent="0" justifyLastLine="0" shrinkToFit="0" readingOrder="0"/>
    </dxf>
    <dxf>
      <border diagonalUp="0" diagonalDown="0" outline="0">
        <left style="thin">
          <color indexed="64"/>
        </left>
        <right/>
        <top/>
        <bottom/>
      </border>
    </dxf>
    <dxf>
      <alignment horizontal="center" vertical="center" textRotation="0" wrapText="1" indent="0" justifyLastLine="0" shrinkToFit="0" readingOrder="0"/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theme" Target="theme/theme1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calcChain" Target="calcChain.xml"/><Relationship Id="rId5" Type="http://schemas.openxmlformats.org/officeDocument/2006/relationships/worksheet" Target="worksheets/sheet5.xml"/><Relationship Id="rId10" Type="http://schemas.openxmlformats.org/officeDocument/2006/relationships/sharedStrings" Target="sharedStrings.xml"/><Relationship Id="rId4" Type="http://schemas.openxmlformats.org/officeDocument/2006/relationships/worksheet" Target="worksheets/sheet4.xml"/><Relationship Id="rId9" Type="http://schemas.openxmlformats.org/officeDocument/2006/relationships/styles" Target="styles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2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_rels/chart3.xml.rels><?xml version="1.0" encoding="UTF-8" standalone="yes"?>
<Relationships xmlns="http://schemas.openxmlformats.org/package/2006/relationships"><Relationship Id="rId2" Type="http://schemas.microsoft.com/office/2011/relationships/chartColorStyle" Target="colors3.xml"/><Relationship Id="rId1" Type="http://schemas.microsoft.com/office/2011/relationships/chartStyle" Target="style3.xml"/></Relationships>
</file>

<file path=xl/charts/_rels/chart4.xml.rels><?xml version="1.0" encoding="UTF-8" standalone="yes"?>
<Relationships xmlns="http://schemas.openxmlformats.org/package/2006/relationships"><Relationship Id="rId2" Type="http://schemas.microsoft.com/office/2011/relationships/chartColorStyle" Target="colors4.xml"/><Relationship Id="rId1" Type="http://schemas.microsoft.com/office/2011/relationships/chartStyle" Target="style4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kumimoji="0" lang="en-US" sz="1400" b="0" i="0" u="none" strike="noStrike" kern="1200" cap="none" spc="0" normalizeH="0" baseline="0" noProof="0">
                <a:ln>
                  <a:noFill/>
                </a:ln>
                <a:solidFill>
                  <a:sysClr val="windowText" lastClr="000000">
                    <a:lumMod val="65000"/>
                    <a:lumOff val="35000"/>
                  </a:sysClr>
                </a:solidFill>
                <a:effectLst/>
                <a:uLnTx/>
                <a:uFillTx/>
                <a:latin typeface="Calibri" panose="020F0502020204030204"/>
              </a:rPr>
              <a:t>Strategic Areas Breakdown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doughnutChart>
        <c:varyColors val="1"/>
        <c:ser>
          <c:idx val="0"/>
          <c:order val="0"/>
          <c:dPt>
            <c:idx val="0"/>
            <c:bubble3D val="0"/>
            <c:spPr>
              <a:solidFill>
                <a:schemeClr val="accent1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1-8DB8-4507-BA04-CBC15CB3D99A}"/>
              </c:ext>
            </c:extLst>
          </c:dPt>
          <c:dPt>
            <c:idx val="1"/>
            <c:bubble3D val="0"/>
            <c:spPr>
              <a:solidFill>
                <a:schemeClr val="accent2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3-8DB8-4507-BA04-CBC15CB3D99A}"/>
              </c:ext>
            </c:extLst>
          </c:dPt>
          <c:dPt>
            <c:idx val="2"/>
            <c:bubble3D val="0"/>
            <c:spPr>
              <a:solidFill>
                <a:schemeClr val="accent3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5-8DB8-4507-BA04-CBC15CB3D99A}"/>
              </c:ext>
            </c:extLst>
          </c:dPt>
          <c:dLbls>
            <c:dLbl>
              <c:idx val="0"/>
              <c:layout>
                <c:manualLayout>
                  <c:x val="0.14465086053341111"/>
                  <c:y val="-0.17161543728153944"/>
                </c:manualLayout>
              </c:layout>
              <c:showLegendKey val="1"/>
              <c:showVal val="0"/>
              <c:showCatName val="1"/>
              <c:showSerName val="0"/>
              <c:showPercent val="1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1-8DB8-4507-BA04-CBC15CB3D99A}"/>
                </c:ext>
              </c:extLst>
            </c:dLbl>
            <c:dLbl>
              <c:idx val="1"/>
              <c:layout>
                <c:manualLayout>
                  <c:x val="-0.18483165512602531"/>
                  <c:y val="0.10560949986556271"/>
                </c:manualLayout>
              </c:layout>
              <c:showLegendKey val="1"/>
              <c:showVal val="0"/>
              <c:showCatName val="1"/>
              <c:showSerName val="0"/>
              <c:showPercent val="1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3-8DB8-4507-BA04-CBC15CB3D99A}"/>
                </c:ext>
              </c:extLst>
            </c:dLbl>
            <c:dLbl>
              <c:idx val="2"/>
              <c:layout>
                <c:manualLayout>
                  <c:x val="-0.16875933728897966"/>
                  <c:y val="-0.11441029152102629"/>
                </c:manualLayout>
              </c:layout>
              <c:showLegendKey val="1"/>
              <c:showVal val="0"/>
              <c:showCatName val="1"/>
              <c:showSerName val="0"/>
              <c:showPercent val="1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5-8DB8-4507-BA04-CBC15CB3D99A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showLegendKey val="1"/>
            <c:showVal val="0"/>
            <c:showCatName val="1"/>
            <c:showSerName val="0"/>
            <c:showPercent val="1"/>
            <c:showBubbleSize val="0"/>
            <c:showLeaderLines val="1"/>
            <c:leaderLines>
              <c:spPr>
                <a:ln w="9525" cap="flat" cmpd="sng" algn="ctr">
                  <a:solidFill>
                    <a:schemeClr val="tx1">
                      <a:lumMod val="35000"/>
                      <a:lumOff val="65000"/>
                    </a:schemeClr>
                  </a:solidFill>
                  <a:round/>
                </a:ln>
                <a:effectLst/>
              </c:spPr>
            </c:leaderLines>
            <c:extLst>
              <c:ext xmlns:c15="http://schemas.microsoft.com/office/drawing/2012/chart" uri="{CE6537A1-D6FC-4f65-9D91-7224C49458BB}"/>
            </c:extLst>
          </c:dLbls>
          <c:cat>
            <c:strRef>
              <c:f>DropDowns!$O$2:$O$4</c:f>
              <c:strCache>
                <c:ptCount val="3"/>
                <c:pt idx="0">
                  <c:v>Strategy 1</c:v>
                </c:pt>
                <c:pt idx="1">
                  <c:v>Strategy 2</c:v>
                </c:pt>
                <c:pt idx="2">
                  <c:v>Strategy 3</c:v>
                </c:pt>
              </c:strCache>
            </c:strRef>
          </c:cat>
          <c:val>
            <c:numRef>
              <c:f>DropDowns!$P$2:$P$4</c:f>
              <c:numCache>
                <c:formatCode>General</c:formatCode>
                <c:ptCount val="3"/>
                <c:pt idx="0">
                  <c:v>0</c:v>
                </c:pt>
                <c:pt idx="1">
                  <c:v>0</c:v>
                </c:pt>
                <c:pt idx="2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6-8DB8-4507-BA04-CBC15CB3D99A}"/>
            </c:ext>
          </c:extLst>
        </c:ser>
        <c:dLbls>
          <c:showLegendKey val="0"/>
          <c:showVal val="0"/>
          <c:showCatName val="1"/>
          <c:showSerName val="0"/>
          <c:showPercent val="1"/>
          <c:showBubbleSize val="0"/>
          <c:showLeaderLines val="1"/>
        </c:dLbls>
        <c:firstSliceAng val="0"/>
        <c:holeSize val="50"/>
      </c:doughnutChart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noFill/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Team</a:t>
            </a:r>
            <a:r>
              <a:rPr lang="en-US" baseline="0"/>
              <a:t> Member Workload</a:t>
            </a:r>
            <a:endParaRPr lang="en-US"/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barChart>
        <c:barDir val="bar"/>
        <c:grouping val="clustered"/>
        <c:varyColors val="0"/>
        <c:ser>
          <c:idx val="0"/>
          <c:order val="0"/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DropDowns!$R$1:$R$8</c:f>
              <c:strCache>
                <c:ptCount val="8"/>
                <c:pt idx="0">
                  <c:v>Employee Breakdown</c:v>
                </c:pt>
                <c:pt idx="1">
                  <c:v>Christy Owens</c:v>
                </c:pt>
                <c:pt idx="2">
                  <c:v>Emily Herman</c:v>
                </c:pt>
                <c:pt idx="3">
                  <c:v>Aaron Ball</c:v>
                </c:pt>
                <c:pt idx="4">
                  <c:v>Joshual Holt</c:v>
                </c:pt>
                <c:pt idx="5">
                  <c:v>Steve Willis</c:v>
                </c:pt>
                <c:pt idx="6">
                  <c:v>Daniel Balls</c:v>
                </c:pt>
                <c:pt idx="7">
                  <c:v>Curtis Henrie</c:v>
                </c:pt>
              </c:strCache>
            </c:strRef>
          </c:cat>
          <c:val>
            <c:numRef>
              <c:f>DropDowns!$S$1:$S$8</c:f>
              <c:numCache>
                <c:formatCode>General</c:formatCode>
                <c:ptCount val="8"/>
                <c:pt idx="1">
                  <c:v>0</c:v>
                </c:pt>
                <c:pt idx="2">
                  <c:v>0</c:v>
                </c:pt>
                <c:pt idx="3">
                  <c:v>200</c:v>
                </c:pt>
                <c:pt idx="4">
                  <c:v>300</c:v>
                </c:pt>
                <c:pt idx="5">
                  <c:v>30</c:v>
                </c:pt>
                <c:pt idx="6">
                  <c:v>220</c:v>
                </c:pt>
                <c:pt idx="7">
                  <c:v>550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4CA8-4281-B0CA-3648179C759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82"/>
        <c:axId val="1375044912"/>
        <c:axId val="1425251552"/>
      </c:barChart>
      <c:catAx>
        <c:axId val="1375044912"/>
        <c:scaling>
          <c:orientation val="minMax"/>
        </c:scaling>
        <c:delete val="0"/>
        <c:axPos val="l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425251552"/>
        <c:crosses val="autoZero"/>
        <c:auto val="1"/>
        <c:lblAlgn val="ctr"/>
        <c:lblOffset val="100"/>
        <c:noMultiLvlLbl val="0"/>
      </c:catAx>
      <c:valAx>
        <c:axId val="1425251552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37504491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noFill/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23099781595074542"/>
          <c:y val="0.11616574225529071"/>
          <c:w val="0.72627127880912778"/>
          <c:h val="0.79297310334899673"/>
        </c:manualLayout>
      </c:layout>
      <c:barChart>
        <c:barDir val="bar"/>
        <c:grouping val="stacked"/>
        <c:varyColors val="0"/>
        <c:ser>
          <c:idx val="0"/>
          <c:order val="0"/>
          <c:tx>
            <c:strRef>
              <c:f>Data!$S$1</c:f>
              <c:strCache>
                <c:ptCount val="1"/>
                <c:pt idx="0">
                  <c:v>Start Date*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Data!$A$2:$A$158</c:f>
              <c:strCache>
                <c:ptCount val="156"/>
                <c:pt idx="0">
                  <c:v>Student milestones added to the DW</c:v>
                </c:pt>
                <c:pt idx="1">
                  <c:v>Search for adobe in all online courses</c:v>
                </c:pt>
                <c:pt idx="2">
                  <c:v>Pathway word In the Pathway Reference courses</c:v>
                </c:pt>
                <c:pt idx="3">
                  <c:v>English Assessment Tool</c:v>
                </c:pt>
                <c:pt idx="4">
                  <c:v>Gamification for Devin Barker</c:v>
                </c:pt>
                <c:pt idx="5">
                  <c:v>automate-course-creation</c:v>
                </c:pt>
                <c:pt idx="6">
                  <c:v>Map Ron's Students to courses</c:v>
                </c:pt>
                <c:pt idx="7">
                  <c:v>d2l-canvas-quicklinks-fixer</c:v>
                </c:pt>
                <c:pt idx="8">
                  <c:v>What if Calculator add on</c:v>
                </c:pt>
                <c:pt idx="9">
                  <c:v>Make a Broswer Plugin for Internal Use</c:v>
                </c:pt>
                <c:pt idx="10">
                  <c:v>Fix Math 100g and 100l</c:v>
                </c:pt>
                <c:pt idx="11">
                  <c:v>upload-zip-to-canvas</c:v>
                </c:pt>
                <c:pt idx="12">
                  <c:v>qualtrics-contact-sync</c:v>
                </c:pt>
                <c:pt idx="13">
                  <c:v>Parse out URLs and Make Links in the csv-to-table and document it</c:v>
                </c:pt>
                <c:pt idx="14">
                  <c:v>broken-links-nightmare</c:v>
                </c:pt>
                <c:pt idx="15">
                  <c:v>Planet Simulator Rewrite</c:v>
                </c:pt>
                <c:pt idx="16">
                  <c:v>Training, Standards and Project Management</c:v>
                </c:pt>
                <c:pt idx="17">
                  <c:v>Document All Old Important Code</c:v>
                </c:pt>
                <c:pt idx="18">
                  <c:v>EnglishConnect - UI</c:v>
                </c:pt>
                <c:pt idx="19">
                  <c:v>English Connect: Novice</c:v>
                </c:pt>
                <c:pt idx="20">
                  <c:v>Delete Page Duplicates (canvas-pagesandfiles)</c:v>
                </c:pt>
                <c:pt idx="21">
                  <c:v>get-data-from-canvas</c:v>
                </c:pt>
                <c:pt idx="22">
                  <c:v>Full Online Portfolio course search</c:v>
                </c:pt>
                <c:pt idx="23">
                  <c:v>Make Barker Gamification Copy-able</c:v>
                </c:pt>
                <c:pt idx="24">
                  <c:v>Hector Becerril: Avatars in D2L</c:v>
                </c:pt>
                <c:pt idx="25">
                  <c:v>Where is adobe connect being used in the online reference courses</c:v>
                </c:pt>
                <c:pt idx="26">
                  <c:v>Check for Turnitin</c:v>
                </c:pt>
                <c:pt idx="27">
                  <c:v>Link search tool for all courses</c:v>
                </c:pt>
                <c:pt idx="28">
                  <c:v>Analytics for videos in courses</c:v>
                </c:pt>
                <c:pt idx="29">
                  <c:v>D2L to Canvas Conversion Tool</c:v>
                </c:pt>
                <c:pt idx="30">
                  <c:v>Fix Digging Deeper Lists</c:v>
                </c:pt>
                <c:pt idx="31">
                  <c:v>Pressure Lab for Math 110</c:v>
                </c:pt>
                <c:pt idx="32">
                  <c:v>EnglishConnect - LTI Server</c:v>
                </c:pt>
                <c:pt idx="33">
                  <c:v>Automate Qualtrics Sync on IT Server</c:v>
                </c:pt>
                <c:pt idx="34">
                  <c:v>Get Course Specialist in Data Portal</c:v>
                </c:pt>
                <c:pt idx="35">
                  <c:v>Reformat Testing Center .csv to be in a format for Brightspace</c:v>
                </c:pt>
                <c:pt idx="36">
                  <c:v>Multiple Qualtrics Surveys into Single Table</c:v>
                </c:pt>
                <c:pt idx="37">
                  <c:v>Automate Post-Copy Checks</c:v>
                </c:pt>
                <c:pt idx="38">
                  <c:v>ADA Compliance For Videos</c:v>
                </c:pt>
                <c:pt idx="39">
                  <c:v>TA 119 - Leaderboard/Scoreboard for Tech Olympics</c:v>
                </c:pt>
                <c:pt idx="40">
                  <c:v>D2L Date Changer</c:v>
                </c:pt>
                <c:pt idx="41">
                  <c:v>Gamification for Christina English Course</c:v>
                </c:pt>
                <c:pt idx="42">
                  <c:v>Archive Videos For AV</c:v>
                </c:pt>
                <c:pt idx="43">
                  <c:v>Level 2 training</c:v>
                </c:pt>
                <c:pt idx="44">
                  <c:v>Level 1 Updates (Part 1)</c:v>
                </c:pt>
                <c:pt idx="45">
                  <c:v>Integrated Curriculum</c:v>
                </c:pt>
                <c:pt idx="46">
                  <c:v>Online Course Maintenance Policy</c:v>
                </c:pt>
                <c:pt idx="47">
                  <c:v>Roadmap</c:v>
                </c:pt>
                <c:pt idx="48">
                  <c:v>Pocket Site</c:v>
                </c:pt>
                <c:pt idx="49">
                  <c:v>Preview Meetings</c:v>
                </c:pt>
                <c:pt idx="50">
                  <c:v>Pilot Transition Meeting</c:v>
                </c:pt>
                <c:pt idx="51">
                  <c:v>Scaled, What now?</c:v>
                </c:pt>
                <c:pt idx="52">
                  <c:v>Working in a Course Council</c:v>
                </c:pt>
                <c:pt idx="53">
                  <c:v>Glossary</c:v>
                </c:pt>
                <c:pt idx="54">
                  <c:v>Spring 2016 Newsletter</c:v>
                </c:pt>
                <c:pt idx="55">
                  <c:v>Textbook Changes</c:v>
                </c:pt>
                <c:pt idx="56">
                  <c:v>The Role of the Online Instructor</c:v>
                </c:pt>
                <c:pt idx="57">
                  <c:v>Sharepoint Folder</c:v>
                </c:pt>
                <c:pt idx="58">
                  <c:v>Level 3 Training</c:v>
                </c:pt>
                <c:pt idx="59">
                  <c:v>Waiting Ticket Policy</c:v>
                </c:pt>
                <c:pt idx="60">
                  <c:v>Style Guide</c:v>
                </c:pt>
                <c:pt idx="61">
                  <c:v>Course Council Website (Content)</c:v>
                </c:pt>
                <c:pt idx="62">
                  <c:v>Course Council Website (Design)</c:v>
                </c:pt>
                <c:pt idx="63">
                  <c:v>Course Council Website (Code)</c:v>
                </c:pt>
                <c:pt idx="64">
                  <c:v>Old Site Takedown</c:v>
                </c:pt>
                <c:pt idx="65">
                  <c:v>Team Meeting Ideas</c:v>
                </c:pt>
                <c:pt idx="66">
                  <c:v>Rebrand</c:v>
                </c:pt>
                <c:pt idx="67">
                  <c:v>Maintenance Review Rubric</c:v>
                </c:pt>
                <c:pt idx="68">
                  <c:v>Course Lead Tracking</c:v>
                </c:pt>
                <c:pt idx="69">
                  <c:v>Coming-Out-of-Pilot Process</c:v>
                </c:pt>
                <c:pt idx="70">
                  <c:v>Setup Training Enhancement</c:v>
                </c:pt>
                <c:pt idx="71">
                  <c:v>Maintenance Training Polish</c:v>
                </c:pt>
                <c:pt idx="72">
                  <c:v>ADA Project</c:v>
                </c:pt>
                <c:pt idx="73">
                  <c:v>Onboarding System</c:v>
                </c:pt>
                <c:pt idx="74">
                  <c:v>Phase Update Letters</c:v>
                </c:pt>
                <c:pt idx="75">
                  <c:v>ESLint settings file</c:v>
                </c:pt>
                <c:pt idx="76">
                  <c:v>.jsbeautifyrc</c:v>
                </c:pt>
                <c:pt idx="77">
                  <c:v>Connect Web Services Zapier.com</c:v>
                </c:pt>
                <c:pt idx="78">
                  <c:v>Vagrant Development environments</c:v>
                </c:pt>
                <c:pt idx="79">
                  <c:v>Policies to make</c:v>
                </c:pt>
                <c:pt idx="80">
                  <c:v>JS iffe modules</c:v>
                </c:pt>
                <c:pt idx="81">
                  <c:v>Make a desktop application using electron</c:v>
                </c:pt>
                <c:pt idx="82">
                  <c:v>Make a Hybrid moble app</c:v>
                </c:pt>
                <c:pt idx="83">
                  <c:v>Hack-a-thon</c:v>
                </c:pt>
                <c:pt idx="84">
                  <c:v>test</c:v>
                </c:pt>
                <c:pt idx="85">
                  <c:v>Fix Trello for with I know</c:v>
                </c:pt>
                <c:pt idx="86">
                  <c:v>make secdule of when I am working</c:v>
                </c:pt>
                <c:pt idx="87">
                  <c:v>think about leaving the tablet</c:v>
                </c:pt>
                <c:pt idx="88">
                  <c:v>Call Sister Orem about the presure lab</c:v>
                </c:pt>
                <c:pt idx="89">
                  <c:v>What trello cards all should look like</c:v>
                </c:pt>
                <c:pt idx="90">
                  <c:v>what people should do if they have time</c:v>
                </c:pt>
                <c:pt idx="91">
                  <c:v>talk about team membership</c:v>
                </c:pt>
                <c:pt idx="92">
                  <c:v>talk about scrum meeings</c:v>
                </c:pt>
                <c:pt idx="93">
                  <c:v>move web cam out there</c:v>
                </c:pt>
                <c:pt idx="94">
                  <c:v>Email people that could call that phone</c:v>
                </c:pt>
                <c:pt idx="95">
                  <c:v>Josh's phone to out fount</c:v>
                </c:pt>
                <c:pt idx="96">
                  <c:v>use D3's circle packer to navigate a course</c:v>
                </c:pt>
                <c:pt idx="97">
                  <c:v>Script that sets up a student work station</c:v>
                </c:pt>
                <c:pt idx="98">
                  <c:v>Student Groups to CSV</c:v>
                </c:pt>
                <c:pt idx="99">
                  <c:v>Chrome Extention For Instructors</c:v>
                </c:pt>
                <c:pt idx="100">
                  <c:v>Video Streamlining and Standardization</c:v>
                </c:pt>
                <c:pt idx="101">
                  <c:v>Course Variables</c:v>
                </c:pt>
                <c:pt idx="102">
                  <c:v>Group discussion updater</c:v>
                </c:pt>
                <c:pt idx="103">
                  <c:v>Make an accessibility tool</c:v>
                </c:pt>
                <c:pt idx="104">
                  <c:v>Develop mobile applications as external services to IL3 and ease any process.</c:v>
                </c:pt>
                <c:pt idx="105">
                  <c:v>Caption ripper</c:v>
                </c:pt>
                <c:pt idx="106">
                  <c:v>customize a html5 video player for any video tags in D2L?</c:v>
                </c:pt>
                <c:pt idx="107">
                  <c:v>make a HTML5 video player support for FLV videos.</c:v>
                </c:pt>
                <c:pt idx="108">
                  <c:v>trello data for student tracking</c:v>
                </c:pt>
                <c:pt idx="109">
                  <c:v>OCR word scanner in pages and pdf</c:v>
                </c:pt>
                <c:pt idx="110">
                  <c:v>Make templatechanger UI friendly</c:v>
                </c:pt>
                <c:pt idx="111">
                  <c:v>Automated Monthly Testing for all Dependent Code</c:v>
                </c:pt>
                <c:pt idx="112">
                  <c:v>Outcomes and Assessment Improvement</c:v>
                </c:pt>
                <c:pt idx="113">
                  <c:v>BYUI LMS Instructor Usage added to the DW</c:v>
                </c:pt>
                <c:pt idx="114">
                  <c:v>Data Validation &amp; Exploration</c:v>
                </c:pt>
                <c:pt idx="115">
                  <c:v>Academic Start Program Evaluation</c:v>
                </c:pt>
                <c:pt idx="116">
                  <c:v>OCR-M Added to the Data Warehouse</c:v>
                </c:pt>
                <c:pt idx="117">
                  <c:v>BYUI LMS Grades added to the DW</c:v>
                </c:pt>
                <c:pt idx="118">
                  <c:v>Product Development: Pilot Evaluation</c:v>
                </c:pt>
                <c:pt idx="119">
                  <c:v>EnglishConnect Pilot Evaluation</c:v>
                </c:pt>
                <c:pt idx="120">
                  <c:v>Course Council Health Evaluation</c:v>
                </c:pt>
                <c:pt idx="121">
                  <c:v>Survey Policy Evaluation</c:v>
                </c:pt>
                <c:pt idx="122">
                  <c:v>I-Learn 3.0 Usability Task Force</c:v>
                </c:pt>
                <c:pt idx="123">
                  <c:v>Bio 264/265 Pass-rate Evaluation</c:v>
                </c:pt>
                <c:pt idx="124">
                  <c:v>Live Course Review Strategy</c:v>
                </c:pt>
                <c:pt idx="125">
                  <c:v>Video Content in Online Courses</c:v>
                </c:pt>
                <c:pt idx="126">
                  <c:v>Course Council Data portal</c:v>
                </c:pt>
                <c:pt idx="127">
                  <c:v>Remote Proctoring Evaluation</c:v>
                </c:pt>
                <c:pt idx="128">
                  <c:v>TA Round 2</c:v>
                </c:pt>
                <c:pt idx="129">
                  <c:v>Teaching Assistants Round 2</c:v>
                </c:pt>
                <c:pt idx="130">
                  <c:v>Competency-based Education</c:v>
                </c:pt>
                <c:pt idx="131">
                  <c:v>Synchronous/Asynchronous Preference and Personality</c:v>
                </c:pt>
                <c:pt idx="132">
                  <c:v>Improve Transcript Process</c:v>
                </c:pt>
                <c:pt idx="133">
                  <c:v>TOA Best Practices R&amp;D</c:v>
                </c:pt>
                <c:pt idx="134">
                  <c:v>Student Ownership</c:v>
                </c:pt>
                <c:pt idx="135">
                  <c:v>Student Community</c:v>
                </c:pt>
                <c:pt idx="136">
                  <c:v>Strategies for Measuring Teaching and Learning</c:v>
                </c:pt>
                <c:pt idx="137">
                  <c:v>Instructor Feedback</c:v>
                </c:pt>
                <c:pt idx="138">
                  <c:v>Student Profiles</c:v>
                </c:pt>
                <c:pt idx="139">
                  <c:v>Activity-level Feedback: Product Develoment</c:v>
                </c:pt>
                <c:pt idx="140">
                  <c:v>Mentoring Technology Solution</c:v>
                </c:pt>
                <c:pt idx="141">
                  <c:v>Understand Online Program Attrition</c:v>
                </c:pt>
                <c:pt idx="142">
                  <c:v>Academic Start Student Feedback Evaluation Strategy</c:v>
                </c:pt>
                <c:pt idx="143">
                  <c:v>Develop Course Health Flags</c:v>
                </c:pt>
                <c:pt idx="144">
                  <c:v>Walk-in Service: Product Develoment</c:v>
                </c:pt>
                <c:pt idx="145">
                  <c:v>Due Dates</c:v>
                </c:pt>
                <c:pt idx="146">
                  <c:v>Online Student Grievance Process</c:v>
                </c:pt>
                <c:pt idx="147">
                  <c:v>Assist Online Instruction with Survey Practices</c:v>
                </c:pt>
                <c:pt idx="148">
                  <c:v>Refine Instructor Survey</c:v>
                </c:pt>
                <c:pt idx="149">
                  <c:v>Analysis of Cheating</c:v>
                </c:pt>
                <c:pt idx="150">
                  <c:v>Redeveloment and Improvement Project Analysis</c:v>
                </c:pt>
                <c:pt idx="151">
                  <c:v>Instruction: Placeholder 1</c:v>
                </c:pt>
                <c:pt idx="152">
                  <c:v>Instruction: Placeholder 2</c:v>
                </c:pt>
                <c:pt idx="153">
                  <c:v>Watch List: Product Development</c:v>
                </c:pt>
                <c:pt idx="154">
                  <c:v>Pre-hiring score to Performance Coorelation</c:v>
                </c:pt>
                <c:pt idx="155">
                  <c:v>Perusall R&amp;D</c:v>
                </c:pt>
              </c:strCache>
            </c:strRef>
          </c:cat>
          <c:val>
            <c:numRef>
              <c:f>Data!$S$2:$S$158</c:f>
              <c:numCache>
                <c:formatCode>m/d/yyyy</c:formatCode>
                <c:ptCount val="156"/>
                <c:pt idx="0">
                  <c:v>42767</c:v>
                </c:pt>
                <c:pt idx="114">
                  <c:v>42644</c:v>
                </c:pt>
                <c:pt idx="115">
                  <c:v>42826</c:v>
                </c:pt>
                <c:pt idx="117">
                  <c:v>42767</c:v>
                </c:pt>
                <c:pt idx="118">
                  <c:v>42767</c:v>
                </c:pt>
                <c:pt idx="119">
                  <c:v>42736</c:v>
                </c:pt>
                <c:pt idx="120">
                  <c:v>42644</c:v>
                </c:pt>
                <c:pt idx="121">
                  <c:v>42370</c:v>
                </c:pt>
                <c:pt idx="123">
                  <c:v>42675</c:v>
                </c:pt>
                <c:pt idx="124">
                  <c:v>42614</c:v>
                </c:pt>
                <c:pt idx="125">
                  <c:v>42705</c:v>
                </c:pt>
                <c:pt idx="126">
                  <c:v>42826</c:v>
                </c:pt>
                <c:pt idx="127">
                  <c:v>42736</c:v>
                </c:pt>
                <c:pt idx="128">
                  <c:v>42370</c:v>
                </c:pt>
                <c:pt idx="129">
                  <c:v>42795</c:v>
                </c:pt>
                <c:pt idx="138">
                  <c:v>42767</c:v>
                </c:pt>
                <c:pt idx="146">
                  <c:v>42644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ED9F-418C-8680-B9C0E46CE1F4}"/>
            </c:ext>
          </c:extLst>
        </c:ser>
        <c:ser>
          <c:idx val="1"/>
          <c:order val="1"/>
          <c:tx>
            <c:strRef>
              <c:f>Data!$U$1</c:f>
              <c:strCache>
                <c:ptCount val="1"/>
                <c:pt idx="0">
                  <c:v>Duration</c:v>
                </c:pt>
              </c:strCache>
            </c:strRef>
          </c:tx>
          <c:spPr>
            <a:solidFill>
              <a:schemeClr val="accent2"/>
            </a:solidFill>
            <a:ln>
              <a:noFill/>
            </a:ln>
            <a:effectLst/>
          </c:spPr>
          <c:invertIfNegative val="0"/>
          <c:cat>
            <c:strRef>
              <c:f>Data!$A$2:$A$158</c:f>
              <c:strCache>
                <c:ptCount val="156"/>
                <c:pt idx="0">
                  <c:v>Student milestones added to the DW</c:v>
                </c:pt>
                <c:pt idx="1">
                  <c:v>Search for adobe in all online courses</c:v>
                </c:pt>
                <c:pt idx="2">
                  <c:v>Pathway word In the Pathway Reference courses</c:v>
                </c:pt>
                <c:pt idx="3">
                  <c:v>English Assessment Tool</c:v>
                </c:pt>
                <c:pt idx="4">
                  <c:v>Gamification for Devin Barker</c:v>
                </c:pt>
                <c:pt idx="5">
                  <c:v>automate-course-creation</c:v>
                </c:pt>
                <c:pt idx="6">
                  <c:v>Map Ron's Students to courses</c:v>
                </c:pt>
                <c:pt idx="7">
                  <c:v>d2l-canvas-quicklinks-fixer</c:v>
                </c:pt>
                <c:pt idx="8">
                  <c:v>What if Calculator add on</c:v>
                </c:pt>
                <c:pt idx="9">
                  <c:v>Make a Broswer Plugin for Internal Use</c:v>
                </c:pt>
                <c:pt idx="10">
                  <c:v>Fix Math 100g and 100l</c:v>
                </c:pt>
                <c:pt idx="11">
                  <c:v>upload-zip-to-canvas</c:v>
                </c:pt>
                <c:pt idx="12">
                  <c:v>qualtrics-contact-sync</c:v>
                </c:pt>
                <c:pt idx="13">
                  <c:v>Parse out URLs and Make Links in the csv-to-table and document it</c:v>
                </c:pt>
                <c:pt idx="14">
                  <c:v>broken-links-nightmare</c:v>
                </c:pt>
                <c:pt idx="15">
                  <c:v>Planet Simulator Rewrite</c:v>
                </c:pt>
                <c:pt idx="16">
                  <c:v>Training, Standards and Project Management</c:v>
                </c:pt>
                <c:pt idx="17">
                  <c:v>Document All Old Important Code</c:v>
                </c:pt>
                <c:pt idx="18">
                  <c:v>EnglishConnect - UI</c:v>
                </c:pt>
                <c:pt idx="19">
                  <c:v>English Connect: Novice</c:v>
                </c:pt>
                <c:pt idx="20">
                  <c:v>Delete Page Duplicates (canvas-pagesandfiles)</c:v>
                </c:pt>
                <c:pt idx="21">
                  <c:v>get-data-from-canvas</c:v>
                </c:pt>
                <c:pt idx="22">
                  <c:v>Full Online Portfolio course search</c:v>
                </c:pt>
                <c:pt idx="23">
                  <c:v>Make Barker Gamification Copy-able</c:v>
                </c:pt>
                <c:pt idx="24">
                  <c:v>Hector Becerril: Avatars in D2L</c:v>
                </c:pt>
                <c:pt idx="25">
                  <c:v>Where is adobe connect being used in the online reference courses</c:v>
                </c:pt>
                <c:pt idx="26">
                  <c:v>Check for Turnitin</c:v>
                </c:pt>
                <c:pt idx="27">
                  <c:v>Link search tool for all courses</c:v>
                </c:pt>
                <c:pt idx="28">
                  <c:v>Analytics for videos in courses</c:v>
                </c:pt>
                <c:pt idx="29">
                  <c:v>D2L to Canvas Conversion Tool</c:v>
                </c:pt>
                <c:pt idx="30">
                  <c:v>Fix Digging Deeper Lists</c:v>
                </c:pt>
                <c:pt idx="31">
                  <c:v>Pressure Lab for Math 110</c:v>
                </c:pt>
                <c:pt idx="32">
                  <c:v>EnglishConnect - LTI Server</c:v>
                </c:pt>
                <c:pt idx="33">
                  <c:v>Automate Qualtrics Sync on IT Server</c:v>
                </c:pt>
                <c:pt idx="34">
                  <c:v>Get Course Specialist in Data Portal</c:v>
                </c:pt>
                <c:pt idx="35">
                  <c:v>Reformat Testing Center .csv to be in a format for Brightspace</c:v>
                </c:pt>
                <c:pt idx="36">
                  <c:v>Multiple Qualtrics Surveys into Single Table</c:v>
                </c:pt>
                <c:pt idx="37">
                  <c:v>Automate Post-Copy Checks</c:v>
                </c:pt>
                <c:pt idx="38">
                  <c:v>ADA Compliance For Videos</c:v>
                </c:pt>
                <c:pt idx="39">
                  <c:v>TA 119 - Leaderboard/Scoreboard for Tech Olympics</c:v>
                </c:pt>
                <c:pt idx="40">
                  <c:v>D2L Date Changer</c:v>
                </c:pt>
                <c:pt idx="41">
                  <c:v>Gamification for Christina English Course</c:v>
                </c:pt>
                <c:pt idx="42">
                  <c:v>Archive Videos For AV</c:v>
                </c:pt>
                <c:pt idx="43">
                  <c:v>Level 2 training</c:v>
                </c:pt>
                <c:pt idx="44">
                  <c:v>Level 1 Updates (Part 1)</c:v>
                </c:pt>
                <c:pt idx="45">
                  <c:v>Integrated Curriculum</c:v>
                </c:pt>
                <c:pt idx="46">
                  <c:v>Online Course Maintenance Policy</c:v>
                </c:pt>
                <c:pt idx="47">
                  <c:v>Roadmap</c:v>
                </c:pt>
                <c:pt idx="48">
                  <c:v>Pocket Site</c:v>
                </c:pt>
                <c:pt idx="49">
                  <c:v>Preview Meetings</c:v>
                </c:pt>
                <c:pt idx="50">
                  <c:v>Pilot Transition Meeting</c:v>
                </c:pt>
                <c:pt idx="51">
                  <c:v>Scaled, What now?</c:v>
                </c:pt>
                <c:pt idx="52">
                  <c:v>Working in a Course Council</c:v>
                </c:pt>
                <c:pt idx="53">
                  <c:v>Glossary</c:v>
                </c:pt>
                <c:pt idx="54">
                  <c:v>Spring 2016 Newsletter</c:v>
                </c:pt>
                <c:pt idx="55">
                  <c:v>Textbook Changes</c:v>
                </c:pt>
                <c:pt idx="56">
                  <c:v>The Role of the Online Instructor</c:v>
                </c:pt>
                <c:pt idx="57">
                  <c:v>Sharepoint Folder</c:v>
                </c:pt>
                <c:pt idx="58">
                  <c:v>Level 3 Training</c:v>
                </c:pt>
                <c:pt idx="59">
                  <c:v>Waiting Ticket Policy</c:v>
                </c:pt>
                <c:pt idx="60">
                  <c:v>Style Guide</c:v>
                </c:pt>
                <c:pt idx="61">
                  <c:v>Course Council Website (Content)</c:v>
                </c:pt>
                <c:pt idx="62">
                  <c:v>Course Council Website (Design)</c:v>
                </c:pt>
                <c:pt idx="63">
                  <c:v>Course Council Website (Code)</c:v>
                </c:pt>
                <c:pt idx="64">
                  <c:v>Old Site Takedown</c:v>
                </c:pt>
                <c:pt idx="65">
                  <c:v>Team Meeting Ideas</c:v>
                </c:pt>
                <c:pt idx="66">
                  <c:v>Rebrand</c:v>
                </c:pt>
                <c:pt idx="67">
                  <c:v>Maintenance Review Rubric</c:v>
                </c:pt>
                <c:pt idx="68">
                  <c:v>Course Lead Tracking</c:v>
                </c:pt>
                <c:pt idx="69">
                  <c:v>Coming-Out-of-Pilot Process</c:v>
                </c:pt>
                <c:pt idx="70">
                  <c:v>Setup Training Enhancement</c:v>
                </c:pt>
                <c:pt idx="71">
                  <c:v>Maintenance Training Polish</c:v>
                </c:pt>
                <c:pt idx="72">
                  <c:v>ADA Project</c:v>
                </c:pt>
                <c:pt idx="73">
                  <c:v>Onboarding System</c:v>
                </c:pt>
                <c:pt idx="74">
                  <c:v>Phase Update Letters</c:v>
                </c:pt>
                <c:pt idx="75">
                  <c:v>ESLint settings file</c:v>
                </c:pt>
                <c:pt idx="76">
                  <c:v>.jsbeautifyrc</c:v>
                </c:pt>
                <c:pt idx="77">
                  <c:v>Connect Web Services Zapier.com</c:v>
                </c:pt>
                <c:pt idx="78">
                  <c:v>Vagrant Development environments</c:v>
                </c:pt>
                <c:pt idx="79">
                  <c:v>Policies to make</c:v>
                </c:pt>
                <c:pt idx="80">
                  <c:v>JS iffe modules</c:v>
                </c:pt>
                <c:pt idx="81">
                  <c:v>Make a desktop application using electron</c:v>
                </c:pt>
                <c:pt idx="82">
                  <c:v>Make a Hybrid moble app</c:v>
                </c:pt>
                <c:pt idx="83">
                  <c:v>Hack-a-thon</c:v>
                </c:pt>
                <c:pt idx="84">
                  <c:v>test</c:v>
                </c:pt>
                <c:pt idx="85">
                  <c:v>Fix Trello for with I know</c:v>
                </c:pt>
                <c:pt idx="86">
                  <c:v>make secdule of when I am working</c:v>
                </c:pt>
                <c:pt idx="87">
                  <c:v>think about leaving the tablet</c:v>
                </c:pt>
                <c:pt idx="88">
                  <c:v>Call Sister Orem about the presure lab</c:v>
                </c:pt>
                <c:pt idx="89">
                  <c:v>What trello cards all should look like</c:v>
                </c:pt>
                <c:pt idx="90">
                  <c:v>what people should do if they have time</c:v>
                </c:pt>
                <c:pt idx="91">
                  <c:v>talk about team membership</c:v>
                </c:pt>
                <c:pt idx="92">
                  <c:v>talk about scrum meeings</c:v>
                </c:pt>
                <c:pt idx="93">
                  <c:v>move web cam out there</c:v>
                </c:pt>
                <c:pt idx="94">
                  <c:v>Email people that could call that phone</c:v>
                </c:pt>
                <c:pt idx="95">
                  <c:v>Josh's phone to out fount</c:v>
                </c:pt>
                <c:pt idx="96">
                  <c:v>use D3's circle packer to navigate a course</c:v>
                </c:pt>
                <c:pt idx="97">
                  <c:v>Script that sets up a student work station</c:v>
                </c:pt>
                <c:pt idx="98">
                  <c:v>Student Groups to CSV</c:v>
                </c:pt>
                <c:pt idx="99">
                  <c:v>Chrome Extention For Instructors</c:v>
                </c:pt>
                <c:pt idx="100">
                  <c:v>Video Streamlining and Standardization</c:v>
                </c:pt>
                <c:pt idx="101">
                  <c:v>Course Variables</c:v>
                </c:pt>
                <c:pt idx="102">
                  <c:v>Group discussion updater</c:v>
                </c:pt>
                <c:pt idx="103">
                  <c:v>Make an accessibility tool</c:v>
                </c:pt>
                <c:pt idx="104">
                  <c:v>Develop mobile applications as external services to IL3 and ease any process.</c:v>
                </c:pt>
                <c:pt idx="105">
                  <c:v>Caption ripper</c:v>
                </c:pt>
                <c:pt idx="106">
                  <c:v>customize a html5 video player for any video tags in D2L?</c:v>
                </c:pt>
                <c:pt idx="107">
                  <c:v>make a HTML5 video player support for FLV videos.</c:v>
                </c:pt>
                <c:pt idx="108">
                  <c:v>trello data for student tracking</c:v>
                </c:pt>
                <c:pt idx="109">
                  <c:v>OCR word scanner in pages and pdf</c:v>
                </c:pt>
                <c:pt idx="110">
                  <c:v>Make templatechanger UI friendly</c:v>
                </c:pt>
                <c:pt idx="111">
                  <c:v>Automated Monthly Testing for all Dependent Code</c:v>
                </c:pt>
                <c:pt idx="112">
                  <c:v>Outcomes and Assessment Improvement</c:v>
                </c:pt>
                <c:pt idx="113">
                  <c:v>BYUI LMS Instructor Usage added to the DW</c:v>
                </c:pt>
                <c:pt idx="114">
                  <c:v>Data Validation &amp; Exploration</c:v>
                </c:pt>
                <c:pt idx="115">
                  <c:v>Academic Start Program Evaluation</c:v>
                </c:pt>
                <c:pt idx="116">
                  <c:v>OCR-M Added to the Data Warehouse</c:v>
                </c:pt>
                <c:pt idx="117">
                  <c:v>BYUI LMS Grades added to the DW</c:v>
                </c:pt>
                <c:pt idx="118">
                  <c:v>Product Development: Pilot Evaluation</c:v>
                </c:pt>
                <c:pt idx="119">
                  <c:v>EnglishConnect Pilot Evaluation</c:v>
                </c:pt>
                <c:pt idx="120">
                  <c:v>Course Council Health Evaluation</c:v>
                </c:pt>
                <c:pt idx="121">
                  <c:v>Survey Policy Evaluation</c:v>
                </c:pt>
                <c:pt idx="122">
                  <c:v>I-Learn 3.0 Usability Task Force</c:v>
                </c:pt>
                <c:pt idx="123">
                  <c:v>Bio 264/265 Pass-rate Evaluation</c:v>
                </c:pt>
                <c:pt idx="124">
                  <c:v>Live Course Review Strategy</c:v>
                </c:pt>
                <c:pt idx="125">
                  <c:v>Video Content in Online Courses</c:v>
                </c:pt>
                <c:pt idx="126">
                  <c:v>Course Council Data portal</c:v>
                </c:pt>
                <c:pt idx="127">
                  <c:v>Remote Proctoring Evaluation</c:v>
                </c:pt>
                <c:pt idx="128">
                  <c:v>TA Round 2</c:v>
                </c:pt>
                <c:pt idx="129">
                  <c:v>Teaching Assistants Round 2</c:v>
                </c:pt>
                <c:pt idx="130">
                  <c:v>Competency-based Education</c:v>
                </c:pt>
                <c:pt idx="131">
                  <c:v>Synchronous/Asynchronous Preference and Personality</c:v>
                </c:pt>
                <c:pt idx="132">
                  <c:v>Improve Transcript Process</c:v>
                </c:pt>
                <c:pt idx="133">
                  <c:v>TOA Best Practices R&amp;D</c:v>
                </c:pt>
                <c:pt idx="134">
                  <c:v>Student Ownership</c:v>
                </c:pt>
                <c:pt idx="135">
                  <c:v>Student Community</c:v>
                </c:pt>
                <c:pt idx="136">
                  <c:v>Strategies for Measuring Teaching and Learning</c:v>
                </c:pt>
                <c:pt idx="137">
                  <c:v>Instructor Feedback</c:v>
                </c:pt>
                <c:pt idx="138">
                  <c:v>Student Profiles</c:v>
                </c:pt>
                <c:pt idx="139">
                  <c:v>Activity-level Feedback: Product Develoment</c:v>
                </c:pt>
                <c:pt idx="140">
                  <c:v>Mentoring Technology Solution</c:v>
                </c:pt>
                <c:pt idx="141">
                  <c:v>Understand Online Program Attrition</c:v>
                </c:pt>
                <c:pt idx="142">
                  <c:v>Academic Start Student Feedback Evaluation Strategy</c:v>
                </c:pt>
                <c:pt idx="143">
                  <c:v>Develop Course Health Flags</c:v>
                </c:pt>
                <c:pt idx="144">
                  <c:v>Walk-in Service: Product Develoment</c:v>
                </c:pt>
                <c:pt idx="145">
                  <c:v>Due Dates</c:v>
                </c:pt>
                <c:pt idx="146">
                  <c:v>Online Student Grievance Process</c:v>
                </c:pt>
                <c:pt idx="147">
                  <c:v>Assist Online Instruction with Survey Practices</c:v>
                </c:pt>
                <c:pt idx="148">
                  <c:v>Refine Instructor Survey</c:v>
                </c:pt>
                <c:pt idx="149">
                  <c:v>Analysis of Cheating</c:v>
                </c:pt>
                <c:pt idx="150">
                  <c:v>Redeveloment and Improvement Project Analysis</c:v>
                </c:pt>
                <c:pt idx="151">
                  <c:v>Instruction: Placeholder 1</c:v>
                </c:pt>
                <c:pt idx="152">
                  <c:v>Instruction: Placeholder 2</c:v>
                </c:pt>
                <c:pt idx="153">
                  <c:v>Watch List: Product Development</c:v>
                </c:pt>
                <c:pt idx="154">
                  <c:v>Pre-hiring score to Performance Coorelation</c:v>
                </c:pt>
                <c:pt idx="155">
                  <c:v>Perusall R&amp;D</c:v>
                </c:pt>
              </c:strCache>
            </c:strRef>
          </c:cat>
          <c:val>
            <c:numRef>
              <c:f>Data!$U$2:$U$158</c:f>
              <c:numCache>
                <c:formatCode>0</c:formatCode>
                <c:ptCount val="156"/>
                <c:pt idx="0">
                  <c:v>89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  <c:pt idx="51">
                  <c:v>0</c:v>
                </c:pt>
                <c:pt idx="52">
                  <c:v>0</c:v>
                </c:pt>
                <c:pt idx="53">
                  <c:v>0</c:v>
                </c:pt>
                <c:pt idx="54">
                  <c:v>0</c:v>
                </c:pt>
                <c:pt idx="55">
                  <c:v>0</c:v>
                </c:pt>
                <c:pt idx="56">
                  <c:v>0</c:v>
                </c:pt>
                <c:pt idx="57">
                  <c:v>0</c:v>
                </c:pt>
                <c:pt idx="58">
                  <c:v>0</c:v>
                </c:pt>
                <c:pt idx="59">
                  <c:v>0</c:v>
                </c:pt>
                <c:pt idx="60">
                  <c:v>0</c:v>
                </c:pt>
                <c:pt idx="61">
                  <c:v>0</c:v>
                </c:pt>
                <c:pt idx="62">
                  <c:v>0</c:v>
                </c:pt>
                <c:pt idx="63">
                  <c:v>0</c:v>
                </c:pt>
                <c:pt idx="64">
                  <c:v>0</c:v>
                </c:pt>
                <c:pt idx="65">
                  <c:v>0</c:v>
                </c:pt>
                <c:pt idx="66">
                  <c:v>0</c:v>
                </c:pt>
                <c:pt idx="67">
                  <c:v>0</c:v>
                </c:pt>
                <c:pt idx="68">
                  <c:v>0</c:v>
                </c:pt>
                <c:pt idx="69">
                  <c:v>0</c:v>
                </c:pt>
                <c:pt idx="70">
                  <c:v>0</c:v>
                </c:pt>
                <c:pt idx="71">
                  <c:v>0</c:v>
                </c:pt>
                <c:pt idx="72">
                  <c:v>0</c:v>
                </c:pt>
                <c:pt idx="73">
                  <c:v>0</c:v>
                </c:pt>
                <c:pt idx="74">
                  <c:v>0</c:v>
                </c:pt>
                <c:pt idx="75">
                  <c:v>0</c:v>
                </c:pt>
                <c:pt idx="76">
                  <c:v>0</c:v>
                </c:pt>
                <c:pt idx="77">
                  <c:v>0</c:v>
                </c:pt>
                <c:pt idx="78">
                  <c:v>0</c:v>
                </c:pt>
                <c:pt idx="79">
                  <c:v>0</c:v>
                </c:pt>
                <c:pt idx="80">
                  <c:v>0</c:v>
                </c:pt>
                <c:pt idx="81">
                  <c:v>0</c:v>
                </c:pt>
                <c:pt idx="82">
                  <c:v>0</c:v>
                </c:pt>
                <c:pt idx="83">
                  <c:v>0</c:v>
                </c:pt>
                <c:pt idx="84">
                  <c:v>0</c:v>
                </c:pt>
                <c:pt idx="85">
                  <c:v>0</c:v>
                </c:pt>
                <c:pt idx="86">
                  <c:v>0</c:v>
                </c:pt>
                <c:pt idx="87">
                  <c:v>0</c:v>
                </c:pt>
                <c:pt idx="88">
                  <c:v>0</c:v>
                </c:pt>
                <c:pt idx="89">
                  <c:v>0</c:v>
                </c:pt>
                <c:pt idx="90">
                  <c:v>0</c:v>
                </c:pt>
                <c:pt idx="91">
                  <c:v>0</c:v>
                </c:pt>
                <c:pt idx="92">
                  <c:v>0</c:v>
                </c:pt>
                <c:pt idx="93">
                  <c:v>0</c:v>
                </c:pt>
                <c:pt idx="94">
                  <c:v>0</c:v>
                </c:pt>
                <c:pt idx="95">
                  <c:v>0</c:v>
                </c:pt>
                <c:pt idx="96">
                  <c:v>0</c:v>
                </c:pt>
                <c:pt idx="97">
                  <c:v>0</c:v>
                </c:pt>
                <c:pt idx="98">
                  <c:v>0</c:v>
                </c:pt>
                <c:pt idx="99">
                  <c:v>0</c:v>
                </c:pt>
                <c:pt idx="100">
                  <c:v>0</c:v>
                </c:pt>
                <c:pt idx="101">
                  <c:v>0</c:v>
                </c:pt>
                <c:pt idx="102">
                  <c:v>0</c:v>
                </c:pt>
                <c:pt idx="103">
                  <c:v>0</c:v>
                </c:pt>
                <c:pt idx="104">
                  <c:v>0</c:v>
                </c:pt>
                <c:pt idx="105">
                  <c:v>0</c:v>
                </c:pt>
                <c:pt idx="106">
                  <c:v>0</c:v>
                </c:pt>
                <c:pt idx="107">
                  <c:v>0</c:v>
                </c:pt>
                <c:pt idx="108">
                  <c:v>0</c:v>
                </c:pt>
                <c:pt idx="109">
                  <c:v>0</c:v>
                </c:pt>
                <c:pt idx="110">
                  <c:v>0</c:v>
                </c:pt>
                <c:pt idx="111">
                  <c:v>0</c:v>
                </c:pt>
                <c:pt idx="112">
                  <c:v>0</c:v>
                </c:pt>
                <c:pt idx="113">
                  <c:v>0</c:v>
                </c:pt>
                <c:pt idx="114">
                  <c:v>61</c:v>
                </c:pt>
                <c:pt idx="115">
                  <c:v>61</c:v>
                </c:pt>
                <c:pt idx="116">
                  <c:v>0</c:v>
                </c:pt>
                <c:pt idx="117">
                  <c:v>89</c:v>
                </c:pt>
                <c:pt idx="118">
                  <c:v>89</c:v>
                </c:pt>
                <c:pt idx="119">
                  <c:v>212</c:v>
                </c:pt>
                <c:pt idx="120">
                  <c:v>92</c:v>
                </c:pt>
                <c:pt idx="121">
                  <c:v>305</c:v>
                </c:pt>
                <c:pt idx="122">
                  <c:v>0</c:v>
                </c:pt>
                <c:pt idx="123">
                  <c:v>181</c:v>
                </c:pt>
                <c:pt idx="124">
                  <c:v>91</c:v>
                </c:pt>
                <c:pt idx="125">
                  <c:v>151</c:v>
                </c:pt>
                <c:pt idx="126">
                  <c:v>61</c:v>
                </c:pt>
                <c:pt idx="127">
                  <c:v>181</c:v>
                </c:pt>
                <c:pt idx="128">
                  <c:v>425</c:v>
                </c:pt>
                <c:pt idx="129">
                  <c:v>92</c:v>
                </c:pt>
                <c:pt idx="130">
                  <c:v>0</c:v>
                </c:pt>
                <c:pt idx="131">
                  <c:v>0</c:v>
                </c:pt>
                <c:pt idx="132">
                  <c:v>0</c:v>
                </c:pt>
                <c:pt idx="133">
                  <c:v>0</c:v>
                </c:pt>
                <c:pt idx="134">
                  <c:v>0</c:v>
                </c:pt>
                <c:pt idx="135">
                  <c:v>0</c:v>
                </c:pt>
                <c:pt idx="136">
                  <c:v>0</c:v>
                </c:pt>
                <c:pt idx="137">
                  <c:v>0</c:v>
                </c:pt>
                <c:pt idx="138">
                  <c:v>120</c:v>
                </c:pt>
                <c:pt idx="139">
                  <c:v>0</c:v>
                </c:pt>
                <c:pt idx="140">
                  <c:v>0</c:v>
                </c:pt>
                <c:pt idx="141">
                  <c:v>0</c:v>
                </c:pt>
                <c:pt idx="142">
                  <c:v>0</c:v>
                </c:pt>
                <c:pt idx="143">
                  <c:v>0</c:v>
                </c:pt>
                <c:pt idx="144">
                  <c:v>0</c:v>
                </c:pt>
                <c:pt idx="145">
                  <c:v>0</c:v>
                </c:pt>
                <c:pt idx="146">
                  <c:v>61</c:v>
                </c:pt>
                <c:pt idx="147">
                  <c:v>0</c:v>
                </c:pt>
                <c:pt idx="148">
                  <c:v>0</c:v>
                </c:pt>
                <c:pt idx="149">
                  <c:v>0</c:v>
                </c:pt>
                <c:pt idx="150">
                  <c:v>0</c:v>
                </c:pt>
                <c:pt idx="151">
                  <c:v>0</c:v>
                </c:pt>
                <c:pt idx="152">
                  <c:v>0</c:v>
                </c:pt>
                <c:pt idx="153">
                  <c:v>0</c:v>
                </c:pt>
                <c:pt idx="154">
                  <c:v>0</c:v>
                </c:pt>
                <c:pt idx="155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ED9F-418C-8680-B9C0E46CE1F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overlap val="100"/>
        <c:axId val="823977791"/>
        <c:axId val="967689023"/>
      </c:barChart>
      <c:catAx>
        <c:axId val="823977791"/>
        <c:scaling>
          <c:orientation val="maxMin"/>
        </c:scaling>
        <c:delete val="0"/>
        <c:axPos val="l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accent1"/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967689023"/>
        <c:crosses val="autoZero"/>
        <c:auto val="1"/>
        <c:lblAlgn val="ctr"/>
        <c:lblOffset val="100"/>
        <c:noMultiLvlLbl val="0"/>
      </c:catAx>
      <c:valAx>
        <c:axId val="967689023"/>
        <c:scaling>
          <c:orientation val="minMax"/>
          <c:min val="42370"/>
        </c:scaling>
        <c:delete val="0"/>
        <c:axPos val="t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[$-409]mmm\-yy;@" sourceLinked="0"/>
        <c:majorTickMark val="none"/>
        <c:minorTickMark val="none"/>
        <c:tickLblPos val="low"/>
        <c:spPr>
          <a:noFill/>
          <a:ln>
            <a:solidFill>
              <a:schemeClr val="accent1"/>
            </a:solidFill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823977791"/>
        <c:crosses val="autoZero"/>
        <c:crossBetween val="between"/>
        <c:majorUnit val="30"/>
      </c:valAx>
      <c:spPr>
        <a:noFill/>
        <a:ln>
          <a:solidFill>
            <a:schemeClr val="accent1"/>
          </a:solidFill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noFill/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Client Breakdown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>
        <c:manualLayout>
          <c:layoutTarget val="inner"/>
          <c:xMode val="edge"/>
          <c:yMode val="edge"/>
          <c:x val="0.19297533754226667"/>
          <c:y val="0.21905337991691437"/>
          <c:w val="0.6140493249154666"/>
          <c:h val="0.67708087813526618"/>
        </c:manualLayout>
      </c:layout>
      <c:doughnutChart>
        <c:varyColors val="1"/>
        <c:ser>
          <c:idx val="0"/>
          <c:order val="0"/>
          <c:dPt>
            <c:idx val="0"/>
            <c:bubble3D val="0"/>
            <c:spPr>
              <a:solidFill>
                <a:schemeClr val="accent1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1-CC85-4A52-A6A8-F957CED404B5}"/>
              </c:ext>
            </c:extLst>
          </c:dPt>
          <c:dPt>
            <c:idx val="1"/>
            <c:bubble3D val="0"/>
            <c:spPr>
              <a:solidFill>
                <a:schemeClr val="accent2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3-CC85-4A52-A6A8-F957CED404B5}"/>
              </c:ext>
            </c:extLst>
          </c:dPt>
          <c:dPt>
            <c:idx val="2"/>
            <c:bubble3D val="0"/>
            <c:spPr>
              <a:solidFill>
                <a:schemeClr val="accent3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5-CC85-4A52-A6A8-F957CED404B5}"/>
              </c:ext>
            </c:extLst>
          </c:dPt>
          <c:dPt>
            <c:idx val="3"/>
            <c:bubble3D val="0"/>
            <c:spPr>
              <a:solidFill>
                <a:schemeClr val="accent4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7-CC85-4A52-A6A8-F957CED404B5}"/>
              </c:ext>
            </c:extLst>
          </c:dPt>
          <c:dPt>
            <c:idx val="4"/>
            <c:bubble3D val="0"/>
            <c:spPr>
              <a:solidFill>
                <a:schemeClr val="accent5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9-CC85-4A52-A6A8-F957CED404B5}"/>
              </c:ext>
            </c:extLst>
          </c:dPt>
          <c:dPt>
            <c:idx val="5"/>
            <c:bubble3D val="0"/>
            <c:spPr>
              <a:solidFill>
                <a:schemeClr val="accent6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B-CC85-4A52-A6A8-F957CED404B5}"/>
              </c:ext>
            </c:extLst>
          </c:dPt>
          <c:dLbls>
            <c:dLbl>
              <c:idx val="1"/>
              <c:layout>
                <c:manualLayout>
                  <c:x val="0.14814814814814814"/>
                  <c:y val="-0.11037527593818984"/>
                </c:manualLayout>
              </c:layout>
              <c:showLegendKey val="1"/>
              <c:showVal val="0"/>
              <c:showCatName val="1"/>
              <c:showSerName val="0"/>
              <c:showPercent val="1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3-CC85-4A52-A6A8-F957CED404B5}"/>
                </c:ext>
              </c:extLst>
            </c:dLbl>
            <c:dLbl>
              <c:idx val="2"/>
              <c:layout>
                <c:manualLayout>
                  <c:x val="-0.23223207459427933"/>
                  <c:y val="0.123620656689437"/>
                </c:manualLayout>
              </c:layout>
              <c:spPr>
                <a:noFill/>
                <a:ln>
                  <a:noFill/>
                </a:ln>
                <a:effectLst/>
              </c:spPr>
              <c:txPr>
                <a:bodyPr rot="0" spcFirstLastPara="1" vertOverflow="clip" horzOverflow="clip" vert="horz" wrap="square" lIns="38100" tIns="19050" rIns="38100" bIns="19050" anchor="ctr" anchorCtr="1">
                  <a:noAutofit/>
                </a:bodyPr>
                <a:lstStyle/>
                <a:p>
                  <a:pPr>
                    <a:defRPr sz="900" b="0" i="0" u="none" strike="noStrike" kern="1200" baseline="0">
                      <a:solidFill>
                        <a:schemeClr val="tx1">
                          <a:lumMod val="75000"/>
                          <a:lumOff val="25000"/>
                        </a:schemeClr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en-US"/>
                </a:p>
              </c:txPr>
              <c:showLegendKey val="1"/>
              <c:showVal val="0"/>
              <c:showCatName val="1"/>
              <c:showSerName val="0"/>
              <c:showPercent val="1"/>
              <c:showBubbleSize val="0"/>
              <c:extLst>
                <c:ext xmlns:c15="http://schemas.microsoft.com/office/drawing/2012/chart" uri="{CE6537A1-D6FC-4f65-9D91-7224C49458BB}">
                  <c15:layout>
                    <c:manualLayout>
                      <c:w val="0.27427427427427425"/>
                      <c:h val="0.1902869757174393"/>
                    </c:manualLayout>
                  </c15:layout>
                </c:ext>
                <c:ext xmlns:c16="http://schemas.microsoft.com/office/drawing/2014/chart" uri="{C3380CC4-5D6E-409C-BE32-E72D297353CC}">
                  <c16:uniqueId val="{00000005-CC85-4A52-A6A8-F957CED404B5}"/>
                </c:ext>
              </c:extLst>
            </c:dLbl>
            <c:dLbl>
              <c:idx val="3"/>
              <c:layout>
                <c:manualLayout>
                  <c:x val="-0.17964673334752074"/>
                  <c:y val="5.7395143487858721E-2"/>
                </c:manualLayout>
              </c:layout>
              <c:showLegendKey val="1"/>
              <c:showVal val="0"/>
              <c:showCatName val="1"/>
              <c:showSerName val="0"/>
              <c:showPercent val="1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7-CC85-4A52-A6A8-F957CED404B5}"/>
                </c:ext>
              </c:extLst>
            </c:dLbl>
            <c:dLbl>
              <c:idx val="4"/>
              <c:layout>
                <c:manualLayout>
                  <c:x val="-0.17617617617617617"/>
                  <c:y val="-7.5055187637969131E-2"/>
                </c:manualLayout>
              </c:layout>
              <c:showLegendKey val="1"/>
              <c:showVal val="0"/>
              <c:showCatName val="1"/>
              <c:showSerName val="0"/>
              <c:showPercent val="1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9-CC85-4A52-A6A8-F957CED404B5}"/>
                </c:ext>
              </c:extLst>
            </c:dLbl>
            <c:dLbl>
              <c:idx val="5"/>
              <c:layout>
                <c:manualLayout>
                  <c:x val="-4.8048048048048082E-2"/>
                  <c:y val="-0.12803532008830021"/>
                </c:manualLayout>
              </c:layout>
              <c:showLegendKey val="1"/>
              <c:showVal val="0"/>
              <c:showCatName val="1"/>
              <c:showSerName val="0"/>
              <c:showPercent val="1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B-CC85-4A52-A6A8-F957CED404B5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rot="0" spcFirstLastPara="1" vertOverflow="clip" horzOverflow="clip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showLegendKey val="1"/>
            <c:showVal val="0"/>
            <c:showCatName val="1"/>
            <c:showSerName val="0"/>
            <c:showPercent val="1"/>
            <c:showBubbleSize val="0"/>
            <c:showLeaderLines val="0"/>
            <c:extLst>
              <c:ext xmlns:c15="http://schemas.microsoft.com/office/drawing/2012/chart" uri="{CE6537A1-D6FC-4f65-9D91-7224C49458BB}"/>
            </c:extLst>
          </c:dLbls>
          <c:cat>
            <c:strRef>
              <c:f>DropDowns!$L$1:$L$6</c:f>
              <c:strCache>
                <c:ptCount val="6"/>
                <c:pt idx="0">
                  <c:v>Client Breakdown</c:v>
                </c:pt>
                <c:pt idx="1">
                  <c:v>Online Learning</c:v>
                </c:pt>
                <c:pt idx="2">
                  <c:v>Curriculum Development</c:v>
                </c:pt>
                <c:pt idx="3">
                  <c:v>Pathway</c:v>
                </c:pt>
                <c:pt idx="4">
                  <c:v>Campus</c:v>
                </c:pt>
                <c:pt idx="5">
                  <c:v>Other</c:v>
                </c:pt>
              </c:strCache>
            </c:strRef>
          </c:cat>
          <c:val>
            <c:numRef>
              <c:f>DropDowns!$M$1:$M$6</c:f>
              <c:numCache>
                <c:formatCode>General</c:formatCode>
                <c:ptCount val="6"/>
                <c:pt idx="1">
                  <c:v>77</c:v>
                </c:pt>
                <c:pt idx="2">
                  <c:v>64</c:v>
                </c:pt>
                <c:pt idx="3">
                  <c:v>50</c:v>
                </c:pt>
                <c:pt idx="4">
                  <c:v>24</c:v>
                </c:pt>
                <c:pt idx="5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C-CC85-4A52-A6A8-F957CED404B5}"/>
            </c:ext>
          </c:extLst>
        </c:ser>
        <c:dLbls>
          <c:showLegendKey val="0"/>
          <c:showVal val="0"/>
          <c:showCatName val="1"/>
          <c:showSerName val="0"/>
          <c:showPercent val="1"/>
          <c:showBubbleSize val="0"/>
          <c:showLeaderLines val="0"/>
        </c:dLbls>
        <c:firstSliceAng val="0"/>
        <c:holeSize val="50"/>
      </c:doughnutChart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noFill/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5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ln w="19050">
        <a:solidFill>
          <a:schemeClr val="lt1"/>
        </a:solidFill>
      </a:ln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ln w="25400">
        <a:solidFill>
          <a:schemeClr val="lt1"/>
        </a:solidFill>
      </a:ln>
    </cs:spPr>
  </cs:dataPoint3D>
  <cs:dataPointLine>
    <cs:lnRef idx="0">
      <cs:styleClr val="auto"/>
    </cs:lnRef>
    <cs:fillRef idx="0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.xml><?xml version="1.0" encoding="utf-8"?>
<cs:chartStyle xmlns:cs="http://schemas.microsoft.com/office/drawing/2012/chartStyle" xmlns:a="http://schemas.openxmlformats.org/drawingml/2006/main" id="216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.xml><?xml version="1.0" encoding="utf-8"?>
<cs:chartStyle xmlns:cs="http://schemas.microsoft.com/office/drawing/2012/chartStyle" xmlns:a="http://schemas.openxmlformats.org/drawingml/2006/main" id="29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.xml><?xml version="1.0" encoding="utf-8"?>
<cs:chartStyle xmlns:cs="http://schemas.microsoft.com/office/drawing/2012/chartStyle" xmlns:a="http://schemas.openxmlformats.org/drawingml/2006/main" id="25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ln w="19050">
        <a:solidFill>
          <a:schemeClr val="lt1"/>
        </a:solidFill>
      </a:ln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ln w="25400">
        <a:solidFill>
          <a:schemeClr val="lt1"/>
        </a:solidFill>
      </a:ln>
    </cs:spPr>
  </cs:dataPoint3D>
  <cs:dataPointLine>
    <cs:lnRef idx="0">
      <cs:styleClr val="auto"/>
    </cs:lnRef>
    <cs:fillRef idx="0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drawings/_rels/drawing1.xml.rels><?xml version="1.0" encoding="UTF-8" standalone="yes"?>
<Relationships xmlns="http://schemas.openxmlformats.org/package/2006/relationships"><Relationship Id="rId3" Type="http://schemas.openxmlformats.org/officeDocument/2006/relationships/chart" Target="../charts/chart3.xml"/><Relationship Id="rId2" Type="http://schemas.openxmlformats.org/officeDocument/2006/relationships/chart" Target="../charts/chart2.xml"/><Relationship Id="rId1" Type="http://schemas.openxmlformats.org/officeDocument/2006/relationships/chart" Target="../charts/chart1.xml"/><Relationship Id="rId4" Type="http://schemas.openxmlformats.org/officeDocument/2006/relationships/chart" Target="../charts/chart4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15</xdr:col>
      <xdr:colOff>601066</xdr:colOff>
      <xdr:row>2</xdr:row>
      <xdr:rowOff>49580</xdr:rowOff>
    </xdr:from>
    <xdr:to>
      <xdr:col>20</xdr:col>
      <xdr:colOff>237530</xdr:colOff>
      <xdr:row>18</xdr:row>
      <xdr:rowOff>40084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AE58470D-454C-4166-BDBF-9C03EA8F04F8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20</xdr:col>
      <xdr:colOff>428626</xdr:colOff>
      <xdr:row>2</xdr:row>
      <xdr:rowOff>55364</xdr:rowOff>
    </xdr:from>
    <xdr:to>
      <xdr:col>27</xdr:col>
      <xdr:colOff>512564</xdr:colOff>
      <xdr:row>18</xdr:row>
      <xdr:rowOff>28575</xdr:rowOff>
    </xdr:to>
    <xdr:graphicFrame macro="">
      <xdr:nvGraphicFramePr>
        <xdr:cNvPr id="3" name="Chart 2">
          <a:extLst>
            <a:ext uri="{FF2B5EF4-FFF2-40B4-BE49-F238E27FC236}">
              <a16:creationId xmlns:a16="http://schemas.microsoft.com/office/drawing/2014/main" id="{6C349041-DBC6-44F2-A022-0B35A9431AE6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7</xdr:col>
      <xdr:colOff>483809</xdr:colOff>
      <xdr:row>20</xdr:row>
      <xdr:rowOff>147865</xdr:rowOff>
    </xdr:from>
    <xdr:to>
      <xdr:col>30</xdr:col>
      <xdr:colOff>267313</xdr:colOff>
      <xdr:row>45</xdr:row>
      <xdr:rowOff>115718</xdr:rowOff>
    </xdr:to>
    <xdr:graphicFrame macro="">
      <xdr:nvGraphicFramePr>
        <xdr:cNvPr id="4" name="Chart 3">
          <a:extLst>
            <a:ext uri="{FF2B5EF4-FFF2-40B4-BE49-F238E27FC236}">
              <a16:creationId xmlns:a16="http://schemas.microsoft.com/office/drawing/2014/main" id="{70181C99-9205-41F8-AC9D-FF50F1525077}"/>
            </a:ext>
            <a:ext uri="{147F2762-F138-4A5C-976F-8EAC2B608ADB}">
              <a16:predDERef xmlns:a16="http://schemas.microsoft.com/office/drawing/2014/main" pred="{6C349041-DBC6-44F2-A022-0B35A9431AE6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9</xdr:col>
      <xdr:colOff>376238</xdr:colOff>
      <xdr:row>2</xdr:row>
      <xdr:rowOff>47625</xdr:rowOff>
    </xdr:from>
    <xdr:to>
      <xdr:col>15</xdr:col>
      <xdr:colOff>419100</xdr:colOff>
      <xdr:row>18</xdr:row>
      <xdr:rowOff>28575</xdr:rowOff>
    </xdr:to>
    <xdr:graphicFrame macro="">
      <xdr:nvGraphicFramePr>
        <xdr:cNvPr id="5" name="Chart 4">
          <a:extLst>
            <a:ext uri="{FF2B5EF4-FFF2-40B4-BE49-F238E27FC236}">
              <a16:creationId xmlns:a16="http://schemas.microsoft.com/office/drawing/2014/main" id="{B8BB3C34-2B85-405C-9FB9-0155497ADD4F}"/>
            </a:ext>
            <a:ext uri="{147F2762-F138-4A5C-976F-8EAC2B608ADB}">
              <a16:predDERef xmlns:a16="http://schemas.microsoft.com/office/drawing/2014/main" pred="{9370BF73-FDF6-4B1C-8595-F4A5365B0CDC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</xdr:wsDr>
</file>

<file path=xl/tables/table1.xml><?xml version="1.0" encoding="utf-8"?>
<table xmlns="http://schemas.openxmlformats.org/spreadsheetml/2006/main" id="1" name="Table1" displayName="Table1" ref="A1:AX158" totalsRowCount="1" headerRowDxfId="91">
  <autoFilter ref="A1:AX157"/>
  <sortState ref="A2:AX265">
    <sortCondition descending="1" ref="AL1:AL46"/>
  </sortState>
  <tableColumns count="50">
    <tableColumn id="1" name="Title" totalsRowLabel="Total" dataDxfId="90" totalsRowDxfId="47"/>
    <tableColumn id="43" name="Trello" dataDxfId="89" totalsRowDxfId="46"/>
    <tableColumn id="22" name="TrelloID" dataDxfId="88" totalsRowDxfId="45"/>
    <tableColumn id="23" name="Board" dataDxfId="87" totalsRowDxfId="44"/>
    <tableColumn id="24" name="Bucket/List" dataDxfId="86" totalsRowDxfId="43"/>
    <tableColumn id="32" name="Assigned" dataDxfId="85" totalsRowDxfId="42"/>
    <tableColumn id="13" name="Details" dataDxfId="84" totalsRowDxfId="41"/>
    <tableColumn id="39" name="Team" dataDxfId="83"/>
    <tableColumn id="17" name="Lead" dataDxfId="82"/>
    <tableColumn id="19" name="Status" dataDxfId="81" totalsRowDxfId="40"/>
    <tableColumn id="3" name="Modified" dataDxfId="80" totalsRowDxfId="39"/>
    <tableColumn id="41" name="Scope" dataDxfId="79" totalsRowDxfId="38"/>
    <tableColumn id="42" name="Project Health" dataDxfId="78" totalsRowDxfId="37"/>
    <tableColumn id="20" name="% Complete" dataDxfId="77" totalsRowDxfId="36"/>
    <tableColumn id="45" name="Sem Complete" dataDxfId="76" totalsRowDxfId="35"/>
    <tableColumn id="16" name="Sponsor*" dataDxfId="75" totalsRowDxfId="34"/>
    <tableColumn id="30" name="Start Month*" dataDxfId="74" totalsRowDxfId="33"/>
    <tableColumn id="31" name="Start Year*" dataDxfId="73" totalsRowDxfId="32"/>
    <tableColumn id="26" name="Start Date*" dataDxfId="72" totalsRowDxfId="31"/>
    <tableColumn id="25" name="End Date*" dataDxfId="71" totalsRowDxfId="30"/>
    <tableColumn id="27" name="Duration" dataDxfId="70" totalsRowDxfId="29">
      <calculatedColumnFormula>DATEDIF(Table1[[#This Row],[Start Date*]],Table1[[#This Row],[End Date*]],"d")</calculatedColumnFormula>
    </tableColumn>
    <tableColumn id="21" name="Planned Total Hrs*" totalsRowFunction="sum" dataDxfId="69" totalsRowDxfId="28">
      <calculatedColumnFormula>SUM(Table1[[#This Row],[DB]:[EH]])</calculatedColumnFormula>
    </tableColumn>
    <tableColumn id="6" name="DB" totalsRowFunction="sum" dataDxfId="68" totalsRowDxfId="27"/>
    <tableColumn id="7" name="CH" totalsRowFunction="sum" dataDxfId="67" totalsRowDxfId="26"/>
    <tableColumn id="8" name="JH" totalsRowFunction="sum" dataDxfId="66" totalsRowDxfId="25"/>
    <tableColumn id="9" name="AB" totalsRowFunction="sum" dataDxfId="65" totalsRowDxfId="24"/>
    <tableColumn id="10" name="CO" totalsRowFunction="sum" dataDxfId="64" totalsRowDxfId="23"/>
    <tableColumn id="11" name="SW" totalsRowFunction="sum" dataDxfId="63" totalsRowDxfId="22"/>
    <tableColumn id="12" name="EH" totalsRowFunction="sum" dataDxfId="62" totalsRowDxfId="21"/>
    <tableColumn id="40" name="Up Next Priority" dataDxfId="61" totalsRowDxfId="20"/>
    <tableColumn id="48" name="Bang for Buck" dataDxfId="60" totalsRowDxfId="19"/>
    <tableColumn id="5" name="Online Learning" totalsRowFunction="sum" dataDxfId="59" totalsRowDxfId="18"/>
    <tableColumn id="14" name="CurrDev" totalsRowFunction="sum" dataDxfId="58" totalsRowDxfId="17"/>
    <tableColumn id="15" name="PW" totalsRowFunction="sum" dataDxfId="57" totalsRowDxfId="16"/>
    <tableColumn id="28" name="Campus" totalsRowFunction="sum" dataDxfId="56" totalsRowDxfId="15"/>
    <tableColumn id="29" name="Other" totalsRowFunction="sum" dataDxfId="55" totalsRowDxfId="14"/>
    <tableColumn id="2" name="Org Impact Score" totalsRowDxfId="13">
      <calculatedColumnFormula>SUBTOTAL(9,Table1[[#This Row],[Online Learning]:[Other]])</calculatedColumnFormula>
    </tableColumn>
    <tableColumn id="44" name="*Learning Model (Daniel)" totalsRowFunction="sum" dataDxfId="54" totalsRowDxfId="12"/>
    <tableColumn id="53" name="*Program Eval (Curtis)" totalsRowFunction="sum" totalsRowDxfId="11"/>
    <tableColumn id="52" name="*Measuring T&amp;L (Steve)" totalsRowFunction="sum" totalsRowDxfId="10"/>
    <tableColumn id="51" name="*Quality Instruction (Josh)" totalsRowFunction="sum" totalsRowDxfId="9"/>
    <tableColumn id="50" name="*Quality Course Design (Ben)" totalsRowFunction="sum" totalsRowDxfId="8"/>
    <tableColumn id="49" name="Reduce Cost" totalsRowFunction="sum" totalsRowDxfId="7"/>
    <tableColumn id="46" name="Student Experience" totalsRowFunction="sum" totalsRowDxfId="6"/>
    <tableColumn id="54" name="Tools" totalsRowFunction="sum" dataDxfId="53" totalsRowDxfId="5"/>
    <tableColumn id="55" name="Other2" dataDxfId="52" totalsRowDxfId="4"/>
    <tableColumn id="18" name="Initiatives Impact Score" dataDxfId="51" totalsRowDxfId="3">
      <calculatedColumnFormula>SUM(Table1[[#This Row],[*Learning Model (Daniel)]:[Other2]])</calculatedColumnFormula>
    </tableColumn>
    <tableColumn id="37" name="R&amp;D: Safe" totalsRowFunction="sum" dataDxfId="50" totalsRowDxfId="2"/>
    <tableColumn id="4" name="R&amp;D: Big Bet" totalsRowFunction="sum" dataDxfId="49" totalsRowDxfId="1"/>
    <tableColumn id="38" name="Evaluation" totalsRowFunction="sum" dataDxfId="48" totalsRowDxfId="0"/>
  </tableColumns>
  <tableStyleInfo name="TableStyleLight1" showFirstColumn="0" showLastColumn="0" showRowStripes="1" showColumnStripes="0"/>
</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3" Type="http://schemas.openxmlformats.org/officeDocument/2006/relationships/hyperlink" Target="https://trello.com/c/nWdbRrPU" TargetMode="External"/><Relationship Id="rId18" Type="http://schemas.openxmlformats.org/officeDocument/2006/relationships/hyperlink" Target="https://trello.com/c/6vo5lBWk" TargetMode="External"/><Relationship Id="rId26" Type="http://schemas.openxmlformats.org/officeDocument/2006/relationships/hyperlink" Target="https://trello.com/c/Z4V4P7kJ" TargetMode="External"/><Relationship Id="rId39" Type="http://schemas.openxmlformats.org/officeDocument/2006/relationships/hyperlink" Target="https://trello.com/c/8bci8L2b" TargetMode="External"/><Relationship Id="rId21" Type="http://schemas.openxmlformats.org/officeDocument/2006/relationships/hyperlink" Target="https://trello.com/c/93VNZXbD" TargetMode="External"/><Relationship Id="rId34" Type="http://schemas.openxmlformats.org/officeDocument/2006/relationships/hyperlink" Target="https://trello.com/c/YavEHr1V" TargetMode="External"/><Relationship Id="rId7" Type="http://schemas.openxmlformats.org/officeDocument/2006/relationships/hyperlink" Target="https://trello.com/c/2LnzHN1V/569-mentoring-technology-solution" TargetMode="External"/><Relationship Id="rId2" Type="http://schemas.openxmlformats.org/officeDocument/2006/relationships/hyperlink" Target="https://trello.com/c/iHigzfXE" TargetMode="External"/><Relationship Id="rId16" Type="http://schemas.openxmlformats.org/officeDocument/2006/relationships/hyperlink" Target="https://trello.com/c/0Rl2oUNo" TargetMode="External"/><Relationship Id="rId20" Type="http://schemas.openxmlformats.org/officeDocument/2006/relationships/hyperlink" Target="https://trello.com/c/xjKYsFO4" TargetMode="External"/><Relationship Id="rId29" Type="http://schemas.openxmlformats.org/officeDocument/2006/relationships/hyperlink" Target="https://trello.com/c/ZZdlUpaM" TargetMode="External"/><Relationship Id="rId41" Type="http://schemas.openxmlformats.org/officeDocument/2006/relationships/table" Target="../tables/table1.xml"/><Relationship Id="rId1" Type="http://schemas.openxmlformats.org/officeDocument/2006/relationships/hyperlink" Target="https://trello.com/c/bLrzcrGM" TargetMode="External"/><Relationship Id="rId6" Type="http://schemas.openxmlformats.org/officeDocument/2006/relationships/hyperlink" Target="https://trello.com/c/8DR4SHRw" TargetMode="External"/><Relationship Id="rId11" Type="http://schemas.openxmlformats.org/officeDocument/2006/relationships/hyperlink" Target="https://trello.com/c/H50hw62u" TargetMode="External"/><Relationship Id="rId24" Type="http://schemas.openxmlformats.org/officeDocument/2006/relationships/hyperlink" Target="https://trello.com/c/7dPAzcQt" TargetMode="External"/><Relationship Id="rId32" Type="http://schemas.openxmlformats.org/officeDocument/2006/relationships/hyperlink" Target="https://trello.com/c/qsAXGe0n" TargetMode="External"/><Relationship Id="rId37" Type="http://schemas.openxmlformats.org/officeDocument/2006/relationships/hyperlink" Target="https://trello.com/c/oMRtN8kM" TargetMode="External"/><Relationship Id="rId40" Type="http://schemas.openxmlformats.org/officeDocument/2006/relationships/printerSettings" Target="../printerSettings/printerSettings1.bin"/><Relationship Id="rId5" Type="http://schemas.openxmlformats.org/officeDocument/2006/relationships/hyperlink" Target="https://trello.com/c/aSRz088i" TargetMode="External"/><Relationship Id="rId15" Type="http://schemas.openxmlformats.org/officeDocument/2006/relationships/hyperlink" Target="https://trello.com/c/3yXgBzOH" TargetMode="External"/><Relationship Id="rId23" Type="http://schemas.openxmlformats.org/officeDocument/2006/relationships/hyperlink" Target="https://trello.com/c/Gt9YvnwT" TargetMode="External"/><Relationship Id="rId28" Type="http://schemas.openxmlformats.org/officeDocument/2006/relationships/hyperlink" Target="https://trello.com/c/3cZIp2Lb" TargetMode="External"/><Relationship Id="rId36" Type="http://schemas.openxmlformats.org/officeDocument/2006/relationships/hyperlink" Target="https://trello.com/c/9eqz5dpI" TargetMode="External"/><Relationship Id="rId10" Type="http://schemas.openxmlformats.org/officeDocument/2006/relationships/hyperlink" Target="https://trello.com/c/G4ititkg/365-lesson-level-evaluation-strategy" TargetMode="External"/><Relationship Id="rId19" Type="http://schemas.openxmlformats.org/officeDocument/2006/relationships/hyperlink" Target="https://trello.com/c/H6bLf8D7" TargetMode="External"/><Relationship Id="rId31" Type="http://schemas.openxmlformats.org/officeDocument/2006/relationships/hyperlink" Target="https://trello.com/c/Tr3zh7Td" TargetMode="External"/><Relationship Id="rId4" Type="http://schemas.openxmlformats.org/officeDocument/2006/relationships/hyperlink" Target="https://trello.com/c/N2V8NKxt" TargetMode="External"/><Relationship Id="rId9" Type="http://schemas.openxmlformats.org/officeDocument/2006/relationships/hyperlink" Target="https://trello.com/c/lWe6R1j3/397-instructor-feedback-touchpoints-project" TargetMode="External"/><Relationship Id="rId14" Type="http://schemas.openxmlformats.org/officeDocument/2006/relationships/hyperlink" Target="https://trello.com/c/AVOalSuP" TargetMode="External"/><Relationship Id="rId22" Type="http://schemas.openxmlformats.org/officeDocument/2006/relationships/hyperlink" Target="https://trello.com/c/RzXPQOoq" TargetMode="External"/><Relationship Id="rId27" Type="http://schemas.openxmlformats.org/officeDocument/2006/relationships/hyperlink" Target="https://trello.com/c/XUCf77ac" TargetMode="External"/><Relationship Id="rId30" Type="http://schemas.openxmlformats.org/officeDocument/2006/relationships/hyperlink" Target="https://trello.com/c/aTj6khYa" TargetMode="External"/><Relationship Id="rId35" Type="http://schemas.openxmlformats.org/officeDocument/2006/relationships/hyperlink" Target="https://trello.com/c/6MkQ0jVC" TargetMode="External"/><Relationship Id="rId8" Type="http://schemas.openxmlformats.org/officeDocument/2006/relationships/hyperlink" Target="https://trello.com/c/d2XVbcBP/308-product-development-student-profiles-attributes-medium" TargetMode="External"/><Relationship Id="rId3" Type="http://schemas.openxmlformats.org/officeDocument/2006/relationships/hyperlink" Target="https://trello.com/c/ranTTWUZ" TargetMode="External"/><Relationship Id="rId12" Type="http://schemas.openxmlformats.org/officeDocument/2006/relationships/hyperlink" Target="https://trello.com/c/jeBSR1uo" TargetMode="External"/><Relationship Id="rId17" Type="http://schemas.openxmlformats.org/officeDocument/2006/relationships/hyperlink" Target="https://trello.com/c/wXv61poI" TargetMode="External"/><Relationship Id="rId25" Type="http://schemas.openxmlformats.org/officeDocument/2006/relationships/hyperlink" Target="https://trello.com/c/BBuBf51r" TargetMode="External"/><Relationship Id="rId33" Type="http://schemas.openxmlformats.org/officeDocument/2006/relationships/hyperlink" Target="https://trello.com/c/2ZL1ZHTp" TargetMode="External"/><Relationship Id="rId38" Type="http://schemas.openxmlformats.org/officeDocument/2006/relationships/hyperlink" Target="https://trello.com/c/fyrbXXYC" TargetMode="External"/></Relationships>
</file>

<file path=xl/worksheets/_rels/sheet3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2.bin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A1:BA176"/>
  <sheetViews>
    <sheetView showGridLines="0" tabSelected="1" zoomScale="102" zoomScaleNormal="85" workbookViewId="0">
      <pane xSplit="1" topLeftCell="B1" activePane="topRight" state="frozen"/>
      <selection pane="topRight" activeCell="G6" sqref="G6"/>
    </sheetView>
  </sheetViews>
  <sheetFormatPr defaultRowHeight="15" x14ac:dyDescent="0.25"/>
  <cols>
    <col min="1" max="1" width="44.85546875" customWidth="1"/>
    <col min="2" max="2" width="10.7109375" style="5" bestFit="1" customWidth="1"/>
    <col min="3" max="3" width="26.7109375" style="5" bestFit="1" customWidth="1"/>
    <col min="4" max="4" width="22" style="5" bestFit="1" customWidth="1"/>
    <col min="5" max="5" width="28.7109375" style="5" bestFit="1" customWidth="1"/>
    <col min="6" max="6" width="47.7109375" style="5" bestFit="1" customWidth="1"/>
    <col min="7" max="7" width="63" style="3" customWidth="1"/>
    <col min="8" max="9" width="9" customWidth="1"/>
    <col min="10" max="11" width="9.7109375" customWidth="1"/>
    <col min="12" max="12" width="11" customWidth="1"/>
    <col min="13" max="16" width="9" customWidth="1"/>
    <col min="17" max="17" width="13" customWidth="1"/>
    <col min="18" max="18" width="9" customWidth="1"/>
    <col min="19" max="19" width="14" customWidth="1"/>
    <col min="20" max="20" width="14.28515625" customWidth="1"/>
    <col min="21" max="21" width="9" customWidth="1"/>
    <col min="22" max="22" width="14" customWidth="1"/>
    <col min="23" max="23" width="11.85546875" customWidth="1"/>
    <col min="24" max="24" width="9" customWidth="1"/>
    <col min="25" max="25" width="10.7109375" customWidth="1"/>
    <col min="26" max="26" width="14.85546875" style="4" customWidth="1"/>
    <col min="27" max="27" width="15" style="3" customWidth="1"/>
    <col min="28" max="28" width="13" style="3" customWidth="1"/>
    <col min="29" max="29" width="13.28515625" style="4" customWidth="1"/>
    <col min="30" max="30" width="12.42578125" style="3" customWidth="1"/>
    <col min="31" max="31" width="10" style="3" customWidth="1"/>
    <col min="32" max="32" width="10.7109375" style="2" customWidth="1"/>
    <col min="33" max="33" width="9.5703125" style="1" customWidth="1"/>
    <col min="34" max="34" width="8.7109375" customWidth="1"/>
    <col min="35" max="35" width="7.28515625" customWidth="1"/>
    <col min="36" max="36" width="7" customWidth="1"/>
    <col min="37" max="37" width="8.42578125" customWidth="1"/>
    <col min="38" max="47" width="11" customWidth="1"/>
    <col min="48" max="48" width="11.42578125" customWidth="1"/>
    <col min="49" max="49" width="13.28515625" customWidth="1"/>
    <col min="50" max="50" width="11.5703125" customWidth="1"/>
    <col min="51" max="51" width="11.28515625" customWidth="1"/>
    <col min="52" max="52" width="11.140625" customWidth="1"/>
    <col min="53" max="53" width="11" customWidth="1"/>
    <col min="54" max="54" width="12.28515625" customWidth="1"/>
    <col min="55" max="55" width="9.140625" customWidth="1"/>
    <col min="56" max="56" width="8.28515625" customWidth="1"/>
    <col min="57" max="57" width="9.5703125" customWidth="1"/>
    <col min="58" max="58" width="11.7109375" customWidth="1"/>
    <col min="59" max="59" width="11.5703125" customWidth="1"/>
    <col min="60" max="60" width="12.140625" customWidth="1"/>
  </cols>
  <sheetData>
    <row r="1" spans="1:50" s="26" customFormat="1" ht="59.25" customHeight="1" x14ac:dyDescent="0.25">
      <c r="A1" s="36" t="s">
        <v>127</v>
      </c>
      <c r="B1" s="35" t="s">
        <v>126</v>
      </c>
      <c r="C1" s="35" t="s">
        <v>568</v>
      </c>
      <c r="D1" s="35" t="s">
        <v>569</v>
      </c>
      <c r="E1" s="35" t="s">
        <v>570</v>
      </c>
      <c r="F1" s="35" t="s">
        <v>571</v>
      </c>
      <c r="G1" s="32" t="s">
        <v>125</v>
      </c>
      <c r="H1" s="32" t="s">
        <v>124</v>
      </c>
      <c r="I1" s="32" t="s">
        <v>123</v>
      </c>
      <c r="J1" s="32" t="s">
        <v>122</v>
      </c>
      <c r="K1" s="32" t="s">
        <v>121</v>
      </c>
      <c r="L1" s="35" t="s">
        <v>120</v>
      </c>
      <c r="M1" s="32" t="s">
        <v>119</v>
      </c>
      <c r="N1" s="34" t="s">
        <v>118</v>
      </c>
      <c r="O1" s="34" t="s">
        <v>117</v>
      </c>
      <c r="P1" s="34" t="s">
        <v>116</v>
      </c>
      <c r="Q1" s="34" t="s">
        <v>115</v>
      </c>
      <c r="R1" s="34" t="s">
        <v>114</v>
      </c>
      <c r="S1" s="34" t="s">
        <v>113</v>
      </c>
      <c r="T1" s="34" t="s">
        <v>112</v>
      </c>
      <c r="U1" s="34" t="s">
        <v>111</v>
      </c>
      <c r="V1" s="33" t="s">
        <v>110</v>
      </c>
      <c r="W1" s="33" t="s">
        <v>109</v>
      </c>
      <c r="X1" s="33" t="s">
        <v>108</v>
      </c>
      <c r="Y1" s="33" t="s">
        <v>107</v>
      </c>
      <c r="Z1" s="33" t="s">
        <v>106</v>
      </c>
      <c r="AA1" s="33" t="s">
        <v>105</v>
      </c>
      <c r="AB1" s="33" t="s">
        <v>104</v>
      </c>
      <c r="AC1" s="33" t="s">
        <v>103</v>
      </c>
      <c r="AD1" s="32" t="s">
        <v>102</v>
      </c>
      <c r="AE1" s="32" t="s">
        <v>101</v>
      </c>
      <c r="AF1" s="27" t="s">
        <v>100</v>
      </c>
      <c r="AG1" s="27" t="s">
        <v>99</v>
      </c>
      <c r="AH1" s="27" t="s">
        <v>98</v>
      </c>
      <c r="AI1" s="27" t="s">
        <v>97</v>
      </c>
      <c r="AJ1" s="27" t="s">
        <v>96</v>
      </c>
      <c r="AK1" s="31" t="s">
        <v>95</v>
      </c>
      <c r="AL1" s="30" t="s">
        <v>94</v>
      </c>
      <c r="AM1" s="29" t="s">
        <v>93</v>
      </c>
      <c r="AN1" s="29" t="s">
        <v>92</v>
      </c>
      <c r="AO1" s="29" t="s">
        <v>91</v>
      </c>
      <c r="AP1" s="29" t="s">
        <v>90</v>
      </c>
      <c r="AQ1" s="29" t="s">
        <v>89</v>
      </c>
      <c r="AR1" s="29" t="s">
        <v>88</v>
      </c>
      <c r="AS1" s="29" t="s">
        <v>87</v>
      </c>
      <c r="AT1" s="29" t="s">
        <v>86</v>
      </c>
      <c r="AU1" s="28" t="s">
        <v>85</v>
      </c>
      <c r="AV1" s="27" t="s">
        <v>84</v>
      </c>
      <c r="AW1" s="27" t="s">
        <v>83</v>
      </c>
      <c r="AX1" s="27" t="s">
        <v>82</v>
      </c>
    </row>
    <row r="2" spans="1:50" x14ac:dyDescent="0.25">
      <c r="A2" s="21" t="s">
        <v>81</v>
      </c>
      <c r="B2" s="8"/>
      <c r="C2" s="8"/>
      <c r="D2" s="8"/>
      <c r="E2" s="8"/>
      <c r="F2" s="8"/>
      <c r="H2" s="3" t="s">
        <v>72</v>
      </c>
      <c r="I2" s="3" t="s">
        <v>71</v>
      </c>
      <c r="J2" s="4" t="s">
        <v>46</v>
      </c>
      <c r="K2" s="4"/>
      <c r="L2" s="12"/>
      <c r="M2" s="4"/>
      <c r="N2" s="3">
        <v>80</v>
      </c>
      <c r="O2" s="3"/>
      <c r="P2" s="3"/>
      <c r="Q2" s="3" t="s">
        <v>34</v>
      </c>
      <c r="R2" s="3">
        <v>2017</v>
      </c>
      <c r="S2" s="19">
        <v>42767</v>
      </c>
      <c r="T2" s="19">
        <v>42856</v>
      </c>
      <c r="U2" s="2">
        <f>DATEDIF(Table1[[#This Row],[Start Date*]],Table1[[#This Row],[End Date*]],"d")</f>
        <v>89</v>
      </c>
      <c r="V2" s="18">
        <f>SUM(Table1[[#This Row],[DB]:[EH]])</f>
        <v>40</v>
      </c>
      <c r="W2" s="3"/>
      <c r="X2" s="3"/>
      <c r="Y2" s="3"/>
      <c r="Z2" s="3">
        <v>40</v>
      </c>
      <c r="AC2" s="3"/>
      <c r="AD2" s="12"/>
      <c r="AE2" s="12"/>
      <c r="AF2" s="3">
        <v>3</v>
      </c>
      <c r="AG2" s="3">
        <v>2</v>
      </c>
      <c r="AH2" s="3">
        <v>5</v>
      </c>
      <c r="AI2" s="3">
        <v>4</v>
      </c>
      <c r="AJ2" s="3">
        <v>0</v>
      </c>
      <c r="AK2" s="17">
        <f>SUBTOTAL(9,Table1[[#This Row],[Online Learning]:[Other]])</f>
        <v>14</v>
      </c>
      <c r="AL2" s="17"/>
      <c r="AM2" s="24"/>
      <c r="AN2" s="24"/>
      <c r="AO2" s="24"/>
      <c r="AP2" s="24"/>
      <c r="AQ2" s="24"/>
      <c r="AR2" s="24"/>
      <c r="AS2" s="24"/>
      <c r="AT2" s="24"/>
      <c r="AU2" s="14">
        <f>SUM(Table1[[#This Row],[*Learning Model (Daniel)]:[Other2]])</f>
        <v>0</v>
      </c>
      <c r="AV2" s="3"/>
      <c r="AW2" s="3"/>
      <c r="AX2" s="3"/>
    </row>
    <row r="3" spans="1:50" x14ac:dyDescent="0.25">
      <c r="A3" s="21" t="s">
        <v>576</v>
      </c>
      <c r="B3" s="8" t="s">
        <v>5</v>
      </c>
      <c r="C3" s="13" t="s">
        <v>575</v>
      </c>
      <c r="D3" s="13" t="s">
        <v>513</v>
      </c>
      <c r="E3" s="13" t="s">
        <v>517</v>
      </c>
      <c r="F3" s="13" t="s">
        <v>557</v>
      </c>
      <c r="G3" s="3" t="s">
        <v>577</v>
      </c>
      <c r="H3" s="3"/>
      <c r="I3" s="3"/>
      <c r="J3" s="4"/>
      <c r="K3" s="4"/>
      <c r="L3" s="11"/>
      <c r="M3" s="4"/>
      <c r="N3" s="3"/>
      <c r="O3" s="3"/>
      <c r="P3" s="3"/>
      <c r="Q3" s="3"/>
      <c r="R3" s="3"/>
      <c r="S3" s="19"/>
      <c r="T3" s="19"/>
      <c r="U3" s="2">
        <f>DATEDIF(Table1[[#This Row],[Start Date*]],Table1[[#This Row],[End Date*]],"d")</f>
        <v>0</v>
      </c>
      <c r="V3" s="18">
        <f>SUM(Table1[[#This Row],[DB]:[EH]])</f>
        <v>0</v>
      </c>
      <c r="W3" s="3"/>
      <c r="X3" s="3"/>
      <c r="Y3" s="3"/>
      <c r="Z3" s="3"/>
      <c r="AC3" s="3"/>
      <c r="AD3" s="8"/>
      <c r="AE3" s="8"/>
      <c r="AF3" s="3"/>
      <c r="AG3" s="3"/>
      <c r="AH3" s="3"/>
      <c r="AI3" s="3"/>
      <c r="AJ3" s="3"/>
      <c r="AK3" s="17">
        <f>SUBTOTAL(9,Table1[[#This Row],[Online Learning]:[Other]])</f>
        <v>0</v>
      </c>
      <c r="AL3" s="17"/>
      <c r="AM3" s="24"/>
      <c r="AN3" s="24"/>
      <c r="AO3" s="24"/>
      <c r="AP3" s="24"/>
      <c r="AQ3" s="24"/>
      <c r="AR3" s="24"/>
      <c r="AS3" s="24"/>
      <c r="AT3" s="6"/>
      <c r="AU3" s="14">
        <f>SUM(Table1[[#This Row],[*Learning Model (Daniel)]:[Other2]])</f>
        <v>0</v>
      </c>
      <c r="AV3" s="3"/>
      <c r="AW3" s="3"/>
      <c r="AX3" s="3"/>
    </row>
    <row r="4" spans="1:50" x14ac:dyDescent="0.25">
      <c r="A4" s="21" t="s">
        <v>573</v>
      </c>
      <c r="B4" s="8" t="s">
        <v>5</v>
      </c>
      <c r="C4" s="13" t="s">
        <v>572</v>
      </c>
      <c r="D4" s="13" t="s">
        <v>513</v>
      </c>
      <c r="E4" s="13" t="s">
        <v>517</v>
      </c>
      <c r="F4" s="13" t="s">
        <v>549</v>
      </c>
      <c r="G4" s="3" t="s">
        <v>574</v>
      </c>
      <c r="H4" s="3"/>
      <c r="I4" s="3"/>
      <c r="J4" s="4"/>
      <c r="K4" s="4"/>
      <c r="L4" s="11"/>
      <c r="M4" s="4"/>
      <c r="N4" s="3"/>
      <c r="O4" s="3"/>
      <c r="P4" s="3"/>
      <c r="Q4" s="3"/>
      <c r="R4" s="3"/>
      <c r="S4" s="19"/>
      <c r="T4" s="19"/>
      <c r="U4" s="2">
        <f>DATEDIF(Table1[[#This Row],[Start Date*]],Table1[[#This Row],[End Date*]],"d")</f>
        <v>0</v>
      </c>
      <c r="V4" s="18">
        <f>SUM(Table1[[#This Row],[DB]:[EH]])</f>
        <v>0</v>
      </c>
      <c r="W4" s="3"/>
      <c r="X4" s="3"/>
      <c r="Y4" s="3"/>
      <c r="Z4" s="3"/>
      <c r="AC4" s="3"/>
      <c r="AD4" s="8"/>
      <c r="AE4" s="8"/>
      <c r="AF4" s="3"/>
      <c r="AG4" s="3"/>
      <c r="AH4" s="3"/>
      <c r="AI4" s="3"/>
      <c r="AJ4" s="3"/>
      <c r="AK4" s="17">
        <f>SUBTOTAL(9,Table1[[#This Row],[Online Learning]:[Other]])</f>
        <v>0</v>
      </c>
      <c r="AL4" s="17"/>
      <c r="AM4" s="24"/>
      <c r="AN4" s="24"/>
      <c r="AO4" s="24"/>
      <c r="AP4" s="24"/>
      <c r="AQ4" s="24"/>
      <c r="AR4" s="24"/>
      <c r="AS4" s="24"/>
      <c r="AT4" s="6"/>
      <c r="AU4" s="14">
        <f>SUM(Table1[[#This Row],[*Learning Model (Daniel)]:[Other2]])</f>
        <v>0</v>
      </c>
      <c r="AV4" s="3"/>
      <c r="AW4" s="3"/>
      <c r="AX4" s="3"/>
    </row>
    <row r="5" spans="1:50" x14ac:dyDescent="0.25">
      <c r="A5" s="21" t="s">
        <v>511</v>
      </c>
      <c r="B5" s="8" t="s">
        <v>5</v>
      </c>
      <c r="C5" s="13" t="s">
        <v>510</v>
      </c>
      <c r="D5" s="13" t="s">
        <v>513</v>
      </c>
      <c r="E5" s="13" t="s">
        <v>523</v>
      </c>
      <c r="F5" s="13" t="s">
        <v>556</v>
      </c>
      <c r="G5" s="3" t="s">
        <v>512</v>
      </c>
      <c r="H5" s="3"/>
      <c r="I5" s="3"/>
      <c r="J5" s="4"/>
      <c r="K5" s="4"/>
      <c r="L5" s="11"/>
      <c r="M5" s="4"/>
      <c r="N5" s="3"/>
      <c r="O5" s="3"/>
      <c r="P5" s="3"/>
      <c r="Q5" s="3"/>
      <c r="R5" s="3"/>
      <c r="S5" s="19"/>
      <c r="T5" s="19"/>
      <c r="U5" s="2">
        <f>DATEDIF(Table1[[#This Row],[Start Date*]],Table1[[#This Row],[End Date*]],"d")</f>
        <v>0</v>
      </c>
      <c r="V5" s="18">
        <f>SUM(Table1[[#This Row],[DB]:[EH]])</f>
        <v>0</v>
      </c>
      <c r="W5" s="3"/>
      <c r="X5" s="3"/>
      <c r="Y5" s="3"/>
      <c r="Z5" s="3"/>
      <c r="AC5" s="3"/>
      <c r="AD5" s="8"/>
      <c r="AE5" s="8"/>
      <c r="AF5" s="3"/>
      <c r="AG5" s="3"/>
      <c r="AH5" s="3"/>
      <c r="AI5" s="3"/>
      <c r="AJ5" s="3"/>
      <c r="AK5" s="17">
        <f>SUBTOTAL(9,Table1[[#This Row],[Online Learning]:[Other]])</f>
        <v>0</v>
      </c>
      <c r="AL5" s="17"/>
      <c r="AM5" s="24"/>
      <c r="AN5" s="24"/>
      <c r="AO5" s="24"/>
      <c r="AP5" s="24"/>
      <c r="AQ5" s="24"/>
      <c r="AR5" s="24"/>
      <c r="AS5" s="46"/>
      <c r="AT5" s="47"/>
      <c r="AU5" s="14">
        <f>SUM(Table1[[#This Row],[*Learning Model (Daniel)]:[Other2]])</f>
        <v>0</v>
      </c>
      <c r="AV5" s="3"/>
      <c r="AW5" s="3"/>
      <c r="AX5" s="3"/>
    </row>
    <row r="6" spans="1:50" x14ac:dyDescent="0.25">
      <c r="A6" s="21" t="s">
        <v>508</v>
      </c>
      <c r="B6" s="8" t="s">
        <v>5</v>
      </c>
      <c r="C6" s="13" t="s">
        <v>507</v>
      </c>
      <c r="D6" s="13" t="s">
        <v>513</v>
      </c>
      <c r="E6" s="13" t="s">
        <v>523</v>
      </c>
      <c r="F6" s="13" t="s">
        <v>567</v>
      </c>
      <c r="G6" s="3" t="s">
        <v>509</v>
      </c>
      <c r="H6" s="3"/>
      <c r="I6" s="3"/>
      <c r="J6" s="4"/>
      <c r="K6" s="4"/>
      <c r="L6" s="11"/>
      <c r="M6" s="4"/>
      <c r="N6" s="3"/>
      <c r="O6" s="3"/>
      <c r="P6" s="3"/>
      <c r="Q6" s="3"/>
      <c r="R6" s="3"/>
      <c r="S6" s="19"/>
      <c r="T6" s="19"/>
      <c r="U6" s="2">
        <f>DATEDIF(Table1[[#This Row],[Start Date*]],Table1[[#This Row],[End Date*]],"d")</f>
        <v>0</v>
      </c>
      <c r="V6" s="18">
        <f>SUM(Table1[[#This Row],[DB]:[EH]])</f>
        <v>0</v>
      </c>
      <c r="W6" s="3"/>
      <c r="X6" s="3"/>
      <c r="Y6" s="3"/>
      <c r="Z6" s="3"/>
      <c r="AC6" s="3"/>
      <c r="AD6" s="8"/>
      <c r="AE6" s="8"/>
      <c r="AF6" s="3"/>
      <c r="AG6" s="3"/>
      <c r="AH6" s="3"/>
      <c r="AI6" s="3"/>
      <c r="AJ6" s="3"/>
      <c r="AK6" s="17">
        <f>SUBTOTAL(9,Table1[[#This Row],[Online Learning]:[Other]])</f>
        <v>0</v>
      </c>
      <c r="AL6" s="17"/>
      <c r="AM6" s="24"/>
      <c r="AN6" s="24"/>
      <c r="AO6" s="24"/>
      <c r="AP6" s="24"/>
      <c r="AQ6" s="24"/>
      <c r="AR6" s="24"/>
      <c r="AS6" s="46"/>
      <c r="AT6" s="47"/>
      <c r="AU6" s="14">
        <f>SUM(Table1[[#This Row],[*Learning Model (Daniel)]:[Other2]])</f>
        <v>0</v>
      </c>
      <c r="AV6" s="3"/>
      <c r="AW6" s="3"/>
      <c r="AX6" s="3"/>
    </row>
    <row r="7" spans="1:50" x14ac:dyDescent="0.25">
      <c r="A7" s="21" t="s">
        <v>505</v>
      </c>
      <c r="B7" s="8" t="s">
        <v>5</v>
      </c>
      <c r="C7" s="13" t="s">
        <v>504</v>
      </c>
      <c r="D7" s="13" t="s">
        <v>513</v>
      </c>
      <c r="E7" s="13" t="s">
        <v>522</v>
      </c>
      <c r="F7" s="13" t="s">
        <v>555</v>
      </c>
      <c r="G7" s="3" t="s">
        <v>506</v>
      </c>
      <c r="H7" s="3"/>
      <c r="I7" s="3"/>
      <c r="J7" s="4"/>
      <c r="K7" s="4"/>
      <c r="L7" s="11"/>
      <c r="M7" s="4"/>
      <c r="N7" s="3"/>
      <c r="O7" s="3"/>
      <c r="P7" s="3"/>
      <c r="Q7" s="3"/>
      <c r="R7" s="3"/>
      <c r="S7" s="19"/>
      <c r="T7" s="19"/>
      <c r="U7" s="2">
        <f>DATEDIF(Table1[[#This Row],[Start Date*]],Table1[[#This Row],[End Date*]],"d")</f>
        <v>0</v>
      </c>
      <c r="V7" s="18">
        <f>SUM(Table1[[#This Row],[DB]:[EH]])</f>
        <v>0</v>
      </c>
      <c r="W7" s="3"/>
      <c r="X7" s="3"/>
      <c r="Y7" s="3"/>
      <c r="Z7" s="3"/>
      <c r="AC7" s="3"/>
      <c r="AD7" s="8"/>
      <c r="AE7" s="8"/>
      <c r="AF7" s="3"/>
      <c r="AG7" s="3"/>
      <c r="AH7" s="3"/>
      <c r="AI7" s="3"/>
      <c r="AJ7" s="3"/>
      <c r="AK7" s="17">
        <f>SUBTOTAL(9,Table1[[#This Row],[Online Learning]:[Other]])</f>
        <v>0</v>
      </c>
      <c r="AL7" s="17"/>
      <c r="AM7" s="24"/>
      <c r="AN7" s="24"/>
      <c r="AO7" s="24"/>
      <c r="AP7" s="24"/>
      <c r="AQ7" s="24"/>
      <c r="AR7" s="24"/>
      <c r="AS7" s="46"/>
      <c r="AT7" s="47"/>
      <c r="AU7" s="14">
        <f>SUM(Table1[[#This Row],[*Learning Model (Daniel)]:[Other2]])</f>
        <v>0</v>
      </c>
      <c r="AV7" s="3"/>
      <c r="AW7" s="3"/>
      <c r="AX7" s="3"/>
    </row>
    <row r="8" spans="1:50" x14ac:dyDescent="0.25">
      <c r="A8" s="21" t="s">
        <v>502</v>
      </c>
      <c r="B8" s="8" t="s">
        <v>5</v>
      </c>
      <c r="C8" s="13" t="s">
        <v>501</v>
      </c>
      <c r="D8" s="13" t="s">
        <v>513</v>
      </c>
      <c r="E8" s="13" t="s">
        <v>522</v>
      </c>
      <c r="F8" s="13" t="s">
        <v>555</v>
      </c>
      <c r="G8" s="3" t="s">
        <v>503</v>
      </c>
      <c r="H8" s="3"/>
      <c r="I8" s="3"/>
      <c r="J8" s="4"/>
      <c r="K8" s="4"/>
      <c r="L8" s="11"/>
      <c r="M8" s="4"/>
      <c r="N8" s="3"/>
      <c r="O8" s="3"/>
      <c r="P8" s="3"/>
      <c r="Q8" s="3"/>
      <c r="R8" s="3"/>
      <c r="S8" s="19"/>
      <c r="T8" s="19"/>
      <c r="U8" s="2">
        <f>DATEDIF(Table1[[#This Row],[Start Date*]],Table1[[#This Row],[End Date*]],"d")</f>
        <v>0</v>
      </c>
      <c r="V8" s="18">
        <f>SUM(Table1[[#This Row],[DB]:[EH]])</f>
        <v>0</v>
      </c>
      <c r="W8" s="3"/>
      <c r="X8" s="3"/>
      <c r="Y8" s="3"/>
      <c r="Z8" s="3"/>
      <c r="AC8" s="3"/>
      <c r="AD8" s="8"/>
      <c r="AE8" s="8"/>
      <c r="AF8" s="3"/>
      <c r="AG8" s="3"/>
      <c r="AH8" s="3"/>
      <c r="AI8" s="3"/>
      <c r="AJ8" s="3"/>
      <c r="AK8" s="17">
        <f>SUBTOTAL(9,Table1[[#This Row],[Online Learning]:[Other]])</f>
        <v>0</v>
      </c>
      <c r="AL8" s="17"/>
      <c r="AM8" s="24"/>
      <c r="AN8" s="24"/>
      <c r="AO8" s="24"/>
      <c r="AP8" s="24"/>
      <c r="AQ8" s="24"/>
      <c r="AR8" s="24"/>
      <c r="AS8" s="46"/>
      <c r="AT8" s="47"/>
      <c r="AU8" s="14">
        <f>SUM(Table1[[#This Row],[*Learning Model (Daniel)]:[Other2]])</f>
        <v>0</v>
      </c>
      <c r="AV8" s="3"/>
      <c r="AW8" s="3"/>
      <c r="AX8" s="3"/>
    </row>
    <row r="9" spans="1:50" x14ac:dyDescent="0.25">
      <c r="A9" s="21" t="s">
        <v>499</v>
      </c>
      <c r="B9" s="8" t="s">
        <v>5</v>
      </c>
      <c r="C9" s="13" t="s">
        <v>498</v>
      </c>
      <c r="D9" s="13" t="s">
        <v>513</v>
      </c>
      <c r="E9" s="13" t="s">
        <v>522</v>
      </c>
      <c r="F9" s="13" t="s">
        <v>35</v>
      </c>
      <c r="G9" s="3" t="s">
        <v>500</v>
      </c>
      <c r="H9" s="3"/>
      <c r="I9" s="3"/>
      <c r="J9" s="4"/>
      <c r="K9" s="4"/>
      <c r="L9" s="11"/>
      <c r="M9" s="4"/>
      <c r="N9" s="3"/>
      <c r="O9" s="3"/>
      <c r="P9" s="3"/>
      <c r="Q9" s="3"/>
      <c r="R9" s="3"/>
      <c r="S9" s="19"/>
      <c r="T9" s="19"/>
      <c r="U9" s="2">
        <f>DATEDIF(Table1[[#This Row],[Start Date*]],Table1[[#This Row],[End Date*]],"d")</f>
        <v>0</v>
      </c>
      <c r="V9" s="18">
        <f>SUM(Table1[[#This Row],[DB]:[EH]])</f>
        <v>0</v>
      </c>
      <c r="W9" s="3"/>
      <c r="X9" s="3"/>
      <c r="Y9" s="3"/>
      <c r="Z9" s="3"/>
      <c r="AC9" s="3"/>
      <c r="AD9" s="8"/>
      <c r="AE9" s="8"/>
      <c r="AF9" s="3"/>
      <c r="AG9" s="3"/>
      <c r="AH9" s="3"/>
      <c r="AI9" s="3"/>
      <c r="AJ9" s="3"/>
      <c r="AK9" s="17">
        <f>SUBTOTAL(9,Table1[[#This Row],[Online Learning]:[Other]])</f>
        <v>0</v>
      </c>
      <c r="AL9" s="17"/>
      <c r="AM9" s="24"/>
      <c r="AN9" s="24"/>
      <c r="AO9" s="24"/>
      <c r="AP9" s="24"/>
      <c r="AQ9" s="24"/>
      <c r="AR9" s="24"/>
      <c r="AS9" s="46"/>
      <c r="AT9" s="47"/>
      <c r="AU9" s="14">
        <f>SUM(Table1[[#This Row],[*Learning Model (Daniel)]:[Other2]])</f>
        <v>0</v>
      </c>
      <c r="AV9" s="3"/>
      <c r="AW9" s="3"/>
      <c r="AX9" s="3"/>
    </row>
    <row r="10" spans="1:50" x14ac:dyDescent="0.25">
      <c r="A10" s="21" t="s">
        <v>496</v>
      </c>
      <c r="B10" s="8" t="s">
        <v>5</v>
      </c>
      <c r="C10" s="13" t="s">
        <v>495</v>
      </c>
      <c r="D10" s="13" t="s">
        <v>513</v>
      </c>
      <c r="E10" s="13" t="s">
        <v>522</v>
      </c>
      <c r="F10" s="13" t="s">
        <v>548</v>
      </c>
      <c r="G10" s="3" t="s">
        <v>497</v>
      </c>
      <c r="H10" s="3"/>
      <c r="I10" s="3"/>
      <c r="J10" s="4"/>
      <c r="K10" s="4"/>
      <c r="L10" s="11"/>
      <c r="M10" s="4"/>
      <c r="N10" s="3"/>
      <c r="O10" s="3"/>
      <c r="P10" s="3"/>
      <c r="Q10" s="3"/>
      <c r="R10" s="3"/>
      <c r="S10" s="19"/>
      <c r="T10" s="19"/>
      <c r="U10" s="2">
        <f>DATEDIF(Table1[[#This Row],[Start Date*]],Table1[[#This Row],[End Date*]],"d")</f>
        <v>0</v>
      </c>
      <c r="V10" s="18">
        <f>SUM(Table1[[#This Row],[DB]:[EH]])</f>
        <v>0</v>
      </c>
      <c r="W10" s="3"/>
      <c r="X10" s="3"/>
      <c r="Y10" s="3"/>
      <c r="Z10" s="3"/>
      <c r="AC10" s="3"/>
      <c r="AD10" s="8"/>
      <c r="AE10" s="8"/>
      <c r="AF10" s="3"/>
      <c r="AG10" s="3"/>
      <c r="AH10" s="3"/>
      <c r="AI10" s="3"/>
      <c r="AJ10" s="3"/>
      <c r="AK10" s="17">
        <f>SUBTOTAL(9,Table1[[#This Row],[Online Learning]:[Other]])</f>
        <v>0</v>
      </c>
      <c r="AL10" s="17"/>
      <c r="AM10" s="24"/>
      <c r="AN10" s="24"/>
      <c r="AO10" s="24"/>
      <c r="AP10" s="24"/>
      <c r="AQ10" s="24"/>
      <c r="AR10" s="24"/>
      <c r="AS10" s="46"/>
      <c r="AT10" s="47"/>
      <c r="AU10" s="14">
        <f>SUM(Table1[[#This Row],[*Learning Model (Daniel)]:[Other2]])</f>
        <v>0</v>
      </c>
      <c r="AV10" s="3"/>
      <c r="AW10" s="3"/>
      <c r="AX10" s="3"/>
    </row>
    <row r="11" spans="1:50" x14ac:dyDescent="0.25">
      <c r="A11" s="21" t="s">
        <v>493</v>
      </c>
      <c r="B11" s="8" t="s">
        <v>5</v>
      </c>
      <c r="C11" s="48" t="s">
        <v>492</v>
      </c>
      <c r="D11" s="13" t="s">
        <v>513</v>
      </c>
      <c r="E11" s="13" t="s">
        <v>522</v>
      </c>
      <c r="F11" s="13" t="s">
        <v>566</v>
      </c>
      <c r="G11" s="3" t="s">
        <v>494</v>
      </c>
      <c r="H11" s="3"/>
      <c r="I11" s="3"/>
      <c r="J11" s="4"/>
      <c r="K11" s="4"/>
      <c r="L11" s="11"/>
      <c r="M11" s="4"/>
      <c r="N11" s="3"/>
      <c r="O11" s="3"/>
      <c r="P11" s="3"/>
      <c r="Q11" s="3"/>
      <c r="R11" s="3"/>
      <c r="S11" s="19"/>
      <c r="T11" s="19"/>
      <c r="U11" s="2">
        <f>DATEDIF(Table1[[#This Row],[Start Date*]],Table1[[#This Row],[End Date*]],"d")</f>
        <v>0</v>
      </c>
      <c r="V11" s="18">
        <f>SUM(Table1[[#This Row],[DB]:[EH]])</f>
        <v>0</v>
      </c>
      <c r="W11" s="3"/>
      <c r="X11" s="3"/>
      <c r="Y11" s="3"/>
      <c r="Z11" s="3"/>
      <c r="AC11" s="3"/>
      <c r="AD11" s="8"/>
      <c r="AE11" s="8"/>
      <c r="AF11" s="3"/>
      <c r="AG11" s="3"/>
      <c r="AH11" s="3"/>
      <c r="AI11" s="3"/>
      <c r="AJ11" s="3"/>
      <c r="AK11" s="17">
        <f>SUBTOTAL(9,Table1[[#This Row],[Online Learning]:[Other]])</f>
        <v>0</v>
      </c>
      <c r="AL11" s="17"/>
      <c r="AM11" s="24"/>
      <c r="AN11" s="24"/>
      <c r="AO11" s="24"/>
      <c r="AP11" s="24"/>
      <c r="AQ11" s="24"/>
      <c r="AR11" s="24"/>
      <c r="AS11" s="46"/>
      <c r="AT11" s="47"/>
      <c r="AU11" s="14">
        <f>SUM(Table1[[#This Row],[*Learning Model (Daniel)]:[Other2]])</f>
        <v>0</v>
      </c>
      <c r="AV11" s="3"/>
      <c r="AW11" s="3"/>
      <c r="AX11" s="3"/>
    </row>
    <row r="12" spans="1:50" x14ac:dyDescent="0.25">
      <c r="A12" s="21" t="s">
        <v>490</v>
      </c>
      <c r="B12" s="8" t="s">
        <v>5</v>
      </c>
      <c r="C12" s="13" t="s">
        <v>489</v>
      </c>
      <c r="D12" s="13" t="s">
        <v>513</v>
      </c>
      <c r="E12" s="13" t="s">
        <v>522</v>
      </c>
      <c r="F12" s="13" t="s">
        <v>35</v>
      </c>
      <c r="G12" s="3" t="s">
        <v>491</v>
      </c>
      <c r="H12" s="3"/>
      <c r="I12" s="3"/>
      <c r="J12" s="4"/>
      <c r="K12" s="4"/>
      <c r="L12" s="11"/>
      <c r="M12" s="4"/>
      <c r="N12" s="3"/>
      <c r="O12" s="3"/>
      <c r="P12" s="3"/>
      <c r="Q12" s="3"/>
      <c r="R12" s="3"/>
      <c r="S12" s="19"/>
      <c r="T12" s="19"/>
      <c r="U12" s="2">
        <f>DATEDIF(Table1[[#This Row],[Start Date*]],Table1[[#This Row],[End Date*]],"d")</f>
        <v>0</v>
      </c>
      <c r="V12" s="18">
        <f>SUM(Table1[[#This Row],[DB]:[EH]])</f>
        <v>0</v>
      </c>
      <c r="W12" s="3"/>
      <c r="X12" s="3"/>
      <c r="Y12" s="3"/>
      <c r="Z12" s="3"/>
      <c r="AC12" s="3"/>
      <c r="AD12" s="8"/>
      <c r="AE12" s="8"/>
      <c r="AF12" s="3"/>
      <c r="AG12" s="3"/>
      <c r="AH12" s="3"/>
      <c r="AI12" s="3"/>
      <c r="AJ12" s="3"/>
      <c r="AK12" s="17">
        <f>SUBTOTAL(9,Table1[[#This Row],[Online Learning]:[Other]])</f>
        <v>0</v>
      </c>
      <c r="AL12" s="17"/>
      <c r="AM12" s="24"/>
      <c r="AN12" s="24"/>
      <c r="AO12" s="24"/>
      <c r="AP12" s="24"/>
      <c r="AQ12" s="24"/>
      <c r="AR12" s="24"/>
      <c r="AS12" s="46"/>
      <c r="AT12" s="47"/>
      <c r="AU12" s="14">
        <f>SUM(Table1[[#This Row],[*Learning Model (Daniel)]:[Other2]])</f>
        <v>0</v>
      </c>
      <c r="AV12" s="3"/>
      <c r="AW12" s="3"/>
      <c r="AX12" s="3"/>
    </row>
    <row r="13" spans="1:50" x14ac:dyDescent="0.25">
      <c r="A13" s="21" t="s">
        <v>487</v>
      </c>
      <c r="B13" s="8" t="s">
        <v>5</v>
      </c>
      <c r="C13" s="13" t="s">
        <v>486</v>
      </c>
      <c r="D13" s="13" t="s">
        <v>513</v>
      </c>
      <c r="E13" s="13" t="s">
        <v>522</v>
      </c>
      <c r="F13" s="13" t="s">
        <v>549</v>
      </c>
      <c r="G13" s="3" t="s">
        <v>488</v>
      </c>
      <c r="H13" s="3"/>
      <c r="I13" s="3"/>
      <c r="J13" s="4"/>
      <c r="K13" s="4"/>
      <c r="L13" s="11"/>
      <c r="M13" s="4"/>
      <c r="N13" s="3"/>
      <c r="O13" s="3"/>
      <c r="P13" s="3"/>
      <c r="Q13" s="3"/>
      <c r="R13" s="3"/>
      <c r="S13" s="19"/>
      <c r="T13" s="19"/>
      <c r="U13" s="2">
        <f>DATEDIF(Table1[[#This Row],[Start Date*]],Table1[[#This Row],[End Date*]],"d")</f>
        <v>0</v>
      </c>
      <c r="V13" s="18">
        <f>SUM(Table1[[#This Row],[DB]:[EH]])</f>
        <v>0</v>
      </c>
      <c r="W13" s="3"/>
      <c r="X13" s="3"/>
      <c r="Y13" s="3"/>
      <c r="Z13" s="3"/>
      <c r="AC13" s="3"/>
      <c r="AD13" s="8"/>
      <c r="AE13" s="8"/>
      <c r="AF13" s="3"/>
      <c r="AG13" s="3"/>
      <c r="AH13" s="3"/>
      <c r="AI13" s="3"/>
      <c r="AJ13" s="3"/>
      <c r="AK13" s="17">
        <f>SUBTOTAL(9,Table1[[#This Row],[Online Learning]:[Other]])</f>
        <v>0</v>
      </c>
      <c r="AL13" s="17"/>
      <c r="AM13" s="24"/>
      <c r="AN13" s="24"/>
      <c r="AO13" s="24"/>
      <c r="AP13" s="24"/>
      <c r="AQ13" s="24"/>
      <c r="AR13" s="24"/>
      <c r="AS13" s="46"/>
      <c r="AT13" s="47"/>
      <c r="AU13" s="14">
        <f>SUM(Table1[[#This Row],[*Learning Model (Daniel)]:[Other2]])</f>
        <v>0</v>
      </c>
      <c r="AV13" s="3"/>
      <c r="AW13" s="3"/>
      <c r="AX13" s="3"/>
    </row>
    <row r="14" spans="1:50" x14ac:dyDescent="0.25">
      <c r="A14" s="21" t="s">
        <v>484</v>
      </c>
      <c r="B14" s="8" t="s">
        <v>5</v>
      </c>
      <c r="C14" s="13" t="s">
        <v>483</v>
      </c>
      <c r="D14" s="13" t="s">
        <v>513</v>
      </c>
      <c r="E14" s="13" t="s">
        <v>521</v>
      </c>
      <c r="F14" s="13" t="s">
        <v>549</v>
      </c>
      <c r="G14" s="3" t="s">
        <v>485</v>
      </c>
      <c r="H14" s="3"/>
      <c r="I14" s="3"/>
      <c r="J14" s="4"/>
      <c r="K14" s="4"/>
      <c r="L14" s="11"/>
      <c r="M14" s="4"/>
      <c r="N14" s="3"/>
      <c r="O14" s="3"/>
      <c r="P14" s="3"/>
      <c r="Q14" s="3"/>
      <c r="R14" s="3"/>
      <c r="S14" s="19"/>
      <c r="T14" s="19"/>
      <c r="U14" s="2">
        <f>DATEDIF(Table1[[#This Row],[Start Date*]],Table1[[#This Row],[End Date*]],"d")</f>
        <v>0</v>
      </c>
      <c r="V14" s="18">
        <f>SUM(Table1[[#This Row],[DB]:[EH]])</f>
        <v>0</v>
      </c>
      <c r="W14" s="3"/>
      <c r="X14" s="3"/>
      <c r="Y14" s="3"/>
      <c r="Z14" s="3"/>
      <c r="AC14" s="3"/>
      <c r="AD14" s="8"/>
      <c r="AE14" s="8"/>
      <c r="AF14" s="3"/>
      <c r="AG14" s="3"/>
      <c r="AH14" s="3"/>
      <c r="AI14" s="3"/>
      <c r="AJ14" s="3"/>
      <c r="AK14" s="17">
        <f>SUBTOTAL(9,Table1[[#This Row],[Online Learning]:[Other]])</f>
        <v>0</v>
      </c>
      <c r="AL14" s="17"/>
      <c r="AM14" s="24"/>
      <c r="AN14" s="24"/>
      <c r="AO14" s="24"/>
      <c r="AP14" s="24"/>
      <c r="AQ14" s="24"/>
      <c r="AR14" s="24"/>
      <c r="AS14" s="46"/>
      <c r="AT14" s="47"/>
      <c r="AU14" s="14">
        <f>SUM(Table1[[#This Row],[*Learning Model (Daniel)]:[Other2]])</f>
        <v>0</v>
      </c>
      <c r="AV14" s="3"/>
      <c r="AW14" s="3"/>
      <c r="AX14" s="3"/>
    </row>
    <row r="15" spans="1:50" x14ac:dyDescent="0.25">
      <c r="A15" s="21" t="s">
        <v>481</v>
      </c>
      <c r="B15" s="8" t="s">
        <v>5</v>
      </c>
      <c r="C15" s="13" t="s">
        <v>480</v>
      </c>
      <c r="D15" s="13" t="s">
        <v>513</v>
      </c>
      <c r="E15" s="13" t="s">
        <v>521</v>
      </c>
      <c r="F15" s="13" t="s">
        <v>549</v>
      </c>
      <c r="G15" s="3" t="s">
        <v>482</v>
      </c>
      <c r="H15" s="3"/>
      <c r="I15" s="3"/>
      <c r="J15" s="4"/>
      <c r="K15" s="4"/>
      <c r="L15" s="11"/>
      <c r="M15" s="4"/>
      <c r="N15" s="3"/>
      <c r="O15" s="3"/>
      <c r="P15" s="3"/>
      <c r="Q15" s="3"/>
      <c r="R15" s="3"/>
      <c r="S15" s="19"/>
      <c r="T15" s="19"/>
      <c r="U15" s="2">
        <f>DATEDIF(Table1[[#This Row],[Start Date*]],Table1[[#This Row],[End Date*]],"d")</f>
        <v>0</v>
      </c>
      <c r="V15" s="18">
        <f>SUM(Table1[[#This Row],[DB]:[EH]])</f>
        <v>0</v>
      </c>
      <c r="W15" s="3"/>
      <c r="X15" s="3"/>
      <c r="Y15" s="3"/>
      <c r="Z15" s="3"/>
      <c r="AC15" s="3"/>
      <c r="AD15" s="8"/>
      <c r="AE15" s="8"/>
      <c r="AF15" s="3"/>
      <c r="AG15" s="3"/>
      <c r="AH15" s="3"/>
      <c r="AI15" s="3"/>
      <c r="AJ15" s="3"/>
      <c r="AK15" s="17">
        <f>SUBTOTAL(9,Table1[[#This Row],[Online Learning]:[Other]])</f>
        <v>0</v>
      </c>
      <c r="AL15" s="17"/>
      <c r="AM15" s="24"/>
      <c r="AN15" s="24"/>
      <c r="AO15" s="24"/>
      <c r="AP15" s="24"/>
      <c r="AQ15" s="24"/>
      <c r="AR15" s="24"/>
      <c r="AS15" s="46"/>
      <c r="AT15" s="47"/>
      <c r="AU15" s="14">
        <f>SUM(Table1[[#This Row],[*Learning Model (Daniel)]:[Other2]])</f>
        <v>0</v>
      </c>
      <c r="AV15" s="3"/>
      <c r="AW15" s="3"/>
      <c r="AX15" s="3"/>
    </row>
    <row r="16" spans="1:50" x14ac:dyDescent="0.25">
      <c r="A16" s="21" t="s">
        <v>478</v>
      </c>
      <c r="B16" s="8" t="s">
        <v>5</v>
      </c>
      <c r="C16" s="13" t="s">
        <v>477</v>
      </c>
      <c r="D16" s="13" t="s">
        <v>513</v>
      </c>
      <c r="E16" s="13" t="s">
        <v>521</v>
      </c>
      <c r="F16" s="13" t="s">
        <v>554</v>
      </c>
      <c r="G16" s="3" t="s">
        <v>479</v>
      </c>
      <c r="H16" s="3"/>
      <c r="I16" s="3"/>
      <c r="J16" s="4"/>
      <c r="K16" s="4"/>
      <c r="L16" s="11"/>
      <c r="M16" s="4"/>
      <c r="N16" s="3"/>
      <c r="O16" s="3"/>
      <c r="P16" s="3"/>
      <c r="Q16" s="3"/>
      <c r="R16" s="3"/>
      <c r="S16" s="19"/>
      <c r="T16" s="19"/>
      <c r="U16" s="2">
        <f>DATEDIF(Table1[[#This Row],[Start Date*]],Table1[[#This Row],[End Date*]],"d")</f>
        <v>0</v>
      </c>
      <c r="V16" s="18">
        <f>SUM(Table1[[#This Row],[DB]:[EH]])</f>
        <v>0</v>
      </c>
      <c r="W16" s="3"/>
      <c r="X16" s="3"/>
      <c r="Y16" s="3"/>
      <c r="Z16" s="3"/>
      <c r="AC16" s="3"/>
      <c r="AD16" s="8"/>
      <c r="AE16" s="8"/>
      <c r="AF16" s="3"/>
      <c r="AG16" s="3"/>
      <c r="AH16" s="3"/>
      <c r="AI16" s="3"/>
      <c r="AJ16" s="3"/>
      <c r="AK16" s="17">
        <f>SUBTOTAL(9,Table1[[#This Row],[Online Learning]:[Other]])</f>
        <v>0</v>
      </c>
      <c r="AL16" s="17"/>
      <c r="AM16" s="24"/>
      <c r="AN16" s="24"/>
      <c r="AO16" s="24"/>
      <c r="AP16" s="24"/>
      <c r="AQ16" s="24"/>
      <c r="AR16" s="24"/>
      <c r="AS16" s="46"/>
      <c r="AT16" s="47"/>
      <c r="AU16" s="14">
        <f>SUM(Table1[[#This Row],[*Learning Model (Daniel)]:[Other2]])</f>
        <v>0</v>
      </c>
      <c r="AV16" s="3"/>
      <c r="AW16" s="3"/>
      <c r="AX16" s="3"/>
    </row>
    <row r="17" spans="1:50" x14ac:dyDescent="0.25">
      <c r="A17" s="21" t="s">
        <v>475</v>
      </c>
      <c r="B17" s="8" t="s">
        <v>5</v>
      </c>
      <c r="C17" s="13" t="s">
        <v>474</v>
      </c>
      <c r="D17" s="13" t="s">
        <v>513</v>
      </c>
      <c r="E17" s="13" t="s">
        <v>521</v>
      </c>
      <c r="F17" s="13" t="s">
        <v>35</v>
      </c>
      <c r="G17" s="3" t="s">
        <v>476</v>
      </c>
      <c r="H17" s="3"/>
      <c r="I17" s="3"/>
      <c r="J17" s="4"/>
      <c r="K17" s="4"/>
      <c r="L17" s="11"/>
      <c r="M17" s="4"/>
      <c r="N17" s="3"/>
      <c r="O17" s="3"/>
      <c r="P17" s="3"/>
      <c r="Q17" s="3"/>
      <c r="R17" s="3"/>
      <c r="S17" s="19"/>
      <c r="T17" s="19"/>
      <c r="U17" s="2">
        <f>DATEDIF(Table1[[#This Row],[Start Date*]],Table1[[#This Row],[End Date*]],"d")</f>
        <v>0</v>
      </c>
      <c r="V17" s="18">
        <f>SUM(Table1[[#This Row],[DB]:[EH]])</f>
        <v>0</v>
      </c>
      <c r="W17" s="3"/>
      <c r="X17" s="3"/>
      <c r="Y17" s="3"/>
      <c r="Z17" s="3"/>
      <c r="AC17" s="3"/>
      <c r="AD17" s="8"/>
      <c r="AE17" s="8"/>
      <c r="AF17" s="3"/>
      <c r="AG17" s="3"/>
      <c r="AH17" s="3"/>
      <c r="AI17" s="3"/>
      <c r="AJ17" s="3"/>
      <c r="AK17" s="17">
        <f>SUBTOTAL(9,Table1[[#This Row],[Online Learning]:[Other]])</f>
        <v>0</v>
      </c>
      <c r="AL17" s="17"/>
      <c r="AM17" s="24"/>
      <c r="AN17" s="24"/>
      <c r="AO17" s="24"/>
      <c r="AP17" s="24"/>
      <c r="AQ17" s="24"/>
      <c r="AR17" s="24"/>
      <c r="AS17" s="46"/>
      <c r="AT17" s="47"/>
      <c r="AU17" s="14">
        <f>SUM(Table1[[#This Row],[*Learning Model (Daniel)]:[Other2]])</f>
        <v>0</v>
      </c>
      <c r="AV17" s="3"/>
      <c r="AW17" s="3"/>
      <c r="AX17" s="3"/>
    </row>
    <row r="18" spans="1:50" x14ac:dyDescent="0.25">
      <c r="A18" s="21" t="s">
        <v>472</v>
      </c>
      <c r="B18" s="8" t="s">
        <v>5</v>
      </c>
      <c r="C18" s="48" t="s">
        <v>471</v>
      </c>
      <c r="D18" s="13" t="s">
        <v>513</v>
      </c>
      <c r="E18" s="13" t="s">
        <v>520</v>
      </c>
      <c r="F18" s="13" t="s">
        <v>551</v>
      </c>
      <c r="G18" s="3" t="s">
        <v>473</v>
      </c>
      <c r="H18" s="3"/>
      <c r="I18" s="3"/>
      <c r="J18" s="4"/>
      <c r="K18" s="4"/>
      <c r="L18" s="11"/>
      <c r="M18" s="4"/>
      <c r="N18" s="3"/>
      <c r="O18" s="3"/>
      <c r="P18" s="3"/>
      <c r="Q18" s="3"/>
      <c r="R18" s="3"/>
      <c r="S18" s="19"/>
      <c r="T18" s="19"/>
      <c r="U18" s="2">
        <f>DATEDIF(Table1[[#This Row],[Start Date*]],Table1[[#This Row],[End Date*]],"d")</f>
        <v>0</v>
      </c>
      <c r="V18" s="18">
        <f>SUM(Table1[[#This Row],[DB]:[EH]])</f>
        <v>0</v>
      </c>
      <c r="W18" s="3"/>
      <c r="X18" s="3"/>
      <c r="Y18" s="3"/>
      <c r="Z18" s="3"/>
      <c r="AC18" s="3"/>
      <c r="AD18" s="8"/>
      <c r="AE18" s="8"/>
      <c r="AF18" s="3"/>
      <c r="AG18" s="3"/>
      <c r="AH18" s="3"/>
      <c r="AI18" s="3"/>
      <c r="AJ18" s="3"/>
      <c r="AK18" s="17">
        <f>SUBTOTAL(9,Table1[[#This Row],[Online Learning]:[Other]])</f>
        <v>0</v>
      </c>
      <c r="AL18" s="17"/>
      <c r="AM18" s="24"/>
      <c r="AN18" s="24"/>
      <c r="AO18" s="24"/>
      <c r="AP18" s="24"/>
      <c r="AQ18" s="24"/>
      <c r="AR18" s="24"/>
      <c r="AS18" s="46"/>
      <c r="AT18" s="47"/>
      <c r="AU18" s="14">
        <f>SUM(Table1[[#This Row],[*Learning Model (Daniel)]:[Other2]])</f>
        <v>0</v>
      </c>
      <c r="AV18" s="3"/>
      <c r="AW18" s="3"/>
      <c r="AX18" s="3"/>
    </row>
    <row r="19" spans="1:50" x14ac:dyDescent="0.25">
      <c r="A19" s="21" t="s">
        <v>469</v>
      </c>
      <c r="B19" s="8" t="s">
        <v>5</v>
      </c>
      <c r="C19" s="13" t="s">
        <v>468</v>
      </c>
      <c r="D19" s="13" t="s">
        <v>513</v>
      </c>
      <c r="E19" s="13" t="s">
        <v>519</v>
      </c>
      <c r="F19" s="13" t="s">
        <v>555</v>
      </c>
      <c r="G19" s="3" t="s">
        <v>470</v>
      </c>
      <c r="H19" s="3"/>
      <c r="I19" s="3"/>
      <c r="J19" s="4"/>
      <c r="K19" s="4"/>
      <c r="L19" s="11"/>
      <c r="M19" s="4"/>
      <c r="N19" s="3"/>
      <c r="O19" s="3"/>
      <c r="P19" s="3"/>
      <c r="Q19" s="3"/>
      <c r="R19" s="3"/>
      <c r="S19" s="19"/>
      <c r="T19" s="19"/>
      <c r="U19" s="2">
        <f>DATEDIF(Table1[[#This Row],[Start Date*]],Table1[[#This Row],[End Date*]],"d")</f>
        <v>0</v>
      </c>
      <c r="V19" s="18">
        <f>SUM(Table1[[#This Row],[DB]:[EH]])</f>
        <v>0</v>
      </c>
      <c r="W19" s="3"/>
      <c r="X19" s="3"/>
      <c r="Y19" s="3"/>
      <c r="Z19" s="3"/>
      <c r="AC19" s="3"/>
      <c r="AD19" s="8"/>
      <c r="AE19" s="8"/>
      <c r="AF19" s="3"/>
      <c r="AG19" s="3"/>
      <c r="AH19" s="3"/>
      <c r="AI19" s="3"/>
      <c r="AJ19" s="3"/>
      <c r="AK19" s="17">
        <f>SUBTOTAL(9,Table1[[#This Row],[Online Learning]:[Other]])</f>
        <v>0</v>
      </c>
      <c r="AL19" s="17"/>
      <c r="AM19" s="24"/>
      <c r="AN19" s="24"/>
      <c r="AO19" s="24"/>
      <c r="AP19" s="24"/>
      <c r="AQ19" s="24"/>
      <c r="AR19" s="24"/>
      <c r="AS19" s="46"/>
      <c r="AT19" s="47"/>
      <c r="AU19" s="14">
        <f>SUM(Table1[[#This Row],[*Learning Model (Daniel)]:[Other2]])</f>
        <v>0</v>
      </c>
      <c r="AV19" s="3"/>
      <c r="AW19" s="3"/>
      <c r="AX19" s="3"/>
    </row>
    <row r="20" spans="1:50" x14ac:dyDescent="0.25">
      <c r="A20" s="21" t="s">
        <v>466</v>
      </c>
      <c r="B20" s="8" t="s">
        <v>5</v>
      </c>
      <c r="C20" s="13" t="s">
        <v>465</v>
      </c>
      <c r="D20" s="13" t="s">
        <v>513</v>
      </c>
      <c r="E20" s="13" t="s">
        <v>518</v>
      </c>
      <c r="F20" s="13" t="s">
        <v>558</v>
      </c>
      <c r="G20" s="3" t="s">
        <v>467</v>
      </c>
      <c r="H20" s="3"/>
      <c r="I20" s="3"/>
      <c r="J20" s="4"/>
      <c r="K20" s="4"/>
      <c r="L20" s="11"/>
      <c r="M20" s="4"/>
      <c r="N20" s="3"/>
      <c r="O20" s="3"/>
      <c r="P20" s="3"/>
      <c r="Q20" s="3"/>
      <c r="R20" s="3"/>
      <c r="S20" s="19"/>
      <c r="T20" s="19"/>
      <c r="U20" s="2">
        <f>DATEDIF(Table1[[#This Row],[Start Date*]],Table1[[#This Row],[End Date*]],"d")</f>
        <v>0</v>
      </c>
      <c r="V20" s="18">
        <f>SUM(Table1[[#This Row],[DB]:[EH]])</f>
        <v>0</v>
      </c>
      <c r="W20" s="3"/>
      <c r="X20" s="3"/>
      <c r="Y20" s="3"/>
      <c r="Z20" s="3"/>
      <c r="AC20" s="3"/>
      <c r="AD20" s="8"/>
      <c r="AE20" s="8"/>
      <c r="AF20" s="3"/>
      <c r="AG20" s="3"/>
      <c r="AH20" s="3"/>
      <c r="AI20" s="3"/>
      <c r="AJ20" s="3"/>
      <c r="AK20" s="17">
        <f>SUBTOTAL(9,Table1[[#This Row],[Online Learning]:[Other]])</f>
        <v>0</v>
      </c>
      <c r="AL20" s="17"/>
      <c r="AM20" s="24"/>
      <c r="AN20" s="24"/>
      <c r="AO20" s="24"/>
      <c r="AP20" s="24"/>
      <c r="AQ20" s="24"/>
      <c r="AR20" s="24"/>
      <c r="AS20" s="46"/>
      <c r="AT20" s="47"/>
      <c r="AU20" s="14">
        <f>SUM(Table1[[#This Row],[*Learning Model (Daniel)]:[Other2]])</f>
        <v>0</v>
      </c>
      <c r="AV20" s="3"/>
      <c r="AW20" s="3"/>
      <c r="AX20" s="3"/>
    </row>
    <row r="21" spans="1:50" x14ac:dyDescent="0.25">
      <c r="A21" s="21" t="s">
        <v>463</v>
      </c>
      <c r="B21" s="8" t="s">
        <v>5</v>
      </c>
      <c r="C21" s="13" t="s">
        <v>462</v>
      </c>
      <c r="D21" s="13" t="s">
        <v>513</v>
      </c>
      <c r="E21" s="13" t="s">
        <v>518</v>
      </c>
      <c r="F21" s="13" t="s">
        <v>548</v>
      </c>
      <c r="G21" s="3" t="s">
        <v>464</v>
      </c>
      <c r="H21" s="3"/>
      <c r="I21" s="3"/>
      <c r="J21" s="4"/>
      <c r="K21" s="4"/>
      <c r="L21" s="11"/>
      <c r="M21" s="4"/>
      <c r="N21" s="3"/>
      <c r="O21" s="3"/>
      <c r="P21" s="3"/>
      <c r="Q21" s="3"/>
      <c r="R21" s="3"/>
      <c r="S21" s="19"/>
      <c r="T21" s="19"/>
      <c r="U21" s="2">
        <f>DATEDIF(Table1[[#This Row],[Start Date*]],Table1[[#This Row],[End Date*]],"d")</f>
        <v>0</v>
      </c>
      <c r="V21" s="18">
        <f>SUM(Table1[[#This Row],[DB]:[EH]])</f>
        <v>0</v>
      </c>
      <c r="W21" s="3"/>
      <c r="X21" s="3"/>
      <c r="Y21" s="3"/>
      <c r="Z21" s="3"/>
      <c r="AC21" s="3"/>
      <c r="AD21" s="8"/>
      <c r="AE21" s="8"/>
      <c r="AF21" s="3"/>
      <c r="AG21" s="3"/>
      <c r="AH21" s="3"/>
      <c r="AI21" s="3"/>
      <c r="AJ21" s="3"/>
      <c r="AK21" s="17">
        <f>SUBTOTAL(9,Table1[[#This Row],[Online Learning]:[Other]])</f>
        <v>0</v>
      </c>
      <c r="AL21" s="17"/>
      <c r="AM21" s="24"/>
      <c r="AN21" s="24"/>
      <c r="AO21" s="24"/>
      <c r="AP21" s="24"/>
      <c r="AQ21" s="24"/>
      <c r="AR21" s="24"/>
      <c r="AS21" s="46"/>
      <c r="AT21" s="47"/>
      <c r="AU21" s="14">
        <f>SUM(Table1[[#This Row],[*Learning Model (Daniel)]:[Other2]])</f>
        <v>0</v>
      </c>
      <c r="AV21" s="3"/>
      <c r="AW21" s="3"/>
      <c r="AX21" s="3"/>
    </row>
    <row r="22" spans="1:50" x14ac:dyDescent="0.25">
      <c r="A22" s="21" t="s">
        <v>460</v>
      </c>
      <c r="B22" s="8" t="s">
        <v>5</v>
      </c>
      <c r="C22" s="13" t="s">
        <v>459</v>
      </c>
      <c r="D22" s="13" t="s">
        <v>513</v>
      </c>
      <c r="E22" s="13" t="s">
        <v>518</v>
      </c>
      <c r="F22" s="13" t="s">
        <v>554</v>
      </c>
      <c r="G22" s="3" t="s">
        <v>461</v>
      </c>
      <c r="H22" s="3"/>
      <c r="I22" s="3"/>
      <c r="J22" s="4"/>
      <c r="K22" s="4"/>
      <c r="L22" s="11"/>
      <c r="M22" s="4"/>
      <c r="N22" s="3"/>
      <c r="O22" s="3"/>
      <c r="P22" s="3"/>
      <c r="Q22" s="3"/>
      <c r="R22" s="3"/>
      <c r="S22" s="19"/>
      <c r="T22" s="19"/>
      <c r="U22" s="2">
        <f>DATEDIF(Table1[[#This Row],[Start Date*]],Table1[[#This Row],[End Date*]],"d")</f>
        <v>0</v>
      </c>
      <c r="V22" s="18">
        <f>SUM(Table1[[#This Row],[DB]:[EH]])</f>
        <v>0</v>
      </c>
      <c r="W22" s="3"/>
      <c r="X22" s="3"/>
      <c r="Y22" s="3"/>
      <c r="Z22" s="3"/>
      <c r="AC22" s="3"/>
      <c r="AD22" s="8"/>
      <c r="AE22" s="8"/>
      <c r="AF22" s="3"/>
      <c r="AG22" s="3"/>
      <c r="AH22" s="3"/>
      <c r="AI22" s="3"/>
      <c r="AJ22" s="3"/>
      <c r="AK22" s="17">
        <f>SUBTOTAL(9,Table1[[#This Row],[Online Learning]:[Other]])</f>
        <v>0</v>
      </c>
      <c r="AL22" s="17"/>
      <c r="AM22" s="24"/>
      <c r="AN22" s="24"/>
      <c r="AO22" s="24"/>
      <c r="AP22" s="24"/>
      <c r="AQ22" s="24"/>
      <c r="AR22" s="24"/>
      <c r="AS22" s="46"/>
      <c r="AT22" s="47"/>
      <c r="AU22" s="14">
        <f>SUM(Table1[[#This Row],[*Learning Model (Daniel)]:[Other2]])</f>
        <v>0</v>
      </c>
      <c r="AV22" s="3"/>
      <c r="AW22" s="3"/>
      <c r="AX22" s="3"/>
    </row>
    <row r="23" spans="1:50" x14ac:dyDescent="0.25">
      <c r="A23" s="21" t="s">
        <v>457</v>
      </c>
      <c r="B23" s="8" t="s">
        <v>5</v>
      </c>
      <c r="C23" s="13" t="s">
        <v>456</v>
      </c>
      <c r="D23" s="13" t="s">
        <v>513</v>
      </c>
      <c r="E23" s="13" t="s">
        <v>518</v>
      </c>
      <c r="F23" s="13" t="s">
        <v>557</v>
      </c>
      <c r="G23" s="3" t="s">
        <v>458</v>
      </c>
      <c r="H23" s="3"/>
      <c r="I23" s="3"/>
      <c r="J23" s="4"/>
      <c r="K23" s="4"/>
      <c r="L23" s="11"/>
      <c r="M23" s="4"/>
      <c r="N23" s="3"/>
      <c r="O23" s="3"/>
      <c r="P23" s="3"/>
      <c r="Q23" s="3"/>
      <c r="R23" s="3"/>
      <c r="S23" s="19"/>
      <c r="T23" s="19"/>
      <c r="U23" s="2">
        <f>DATEDIF(Table1[[#This Row],[Start Date*]],Table1[[#This Row],[End Date*]],"d")</f>
        <v>0</v>
      </c>
      <c r="V23" s="18">
        <f>SUM(Table1[[#This Row],[DB]:[EH]])</f>
        <v>0</v>
      </c>
      <c r="W23" s="3"/>
      <c r="X23" s="3"/>
      <c r="Y23" s="3"/>
      <c r="Z23" s="3"/>
      <c r="AC23" s="3"/>
      <c r="AD23" s="8"/>
      <c r="AE23" s="8"/>
      <c r="AF23" s="3"/>
      <c r="AG23" s="3"/>
      <c r="AH23" s="3"/>
      <c r="AI23" s="3"/>
      <c r="AJ23" s="3"/>
      <c r="AK23" s="17">
        <f>SUBTOTAL(9,Table1[[#This Row],[Online Learning]:[Other]])</f>
        <v>0</v>
      </c>
      <c r="AL23" s="17"/>
      <c r="AM23" s="24"/>
      <c r="AN23" s="24"/>
      <c r="AO23" s="24"/>
      <c r="AP23" s="24"/>
      <c r="AQ23" s="24"/>
      <c r="AR23" s="24"/>
      <c r="AS23" s="46"/>
      <c r="AT23" s="47"/>
      <c r="AU23" s="14">
        <f>SUM(Table1[[#This Row],[*Learning Model (Daniel)]:[Other2]])</f>
        <v>0</v>
      </c>
      <c r="AV23" s="3"/>
      <c r="AW23" s="3"/>
      <c r="AX23" s="3"/>
    </row>
    <row r="24" spans="1:50" x14ac:dyDescent="0.25">
      <c r="A24" s="21" t="s">
        <v>454</v>
      </c>
      <c r="B24" s="8" t="s">
        <v>5</v>
      </c>
      <c r="C24" s="13" t="s">
        <v>453</v>
      </c>
      <c r="D24" s="13" t="s">
        <v>513</v>
      </c>
      <c r="E24" s="13" t="s">
        <v>517</v>
      </c>
      <c r="F24" s="13" t="s">
        <v>35</v>
      </c>
      <c r="G24" s="3" t="s">
        <v>455</v>
      </c>
      <c r="H24" s="3"/>
      <c r="I24" s="3"/>
      <c r="J24" s="4"/>
      <c r="K24" s="4"/>
      <c r="L24" s="11"/>
      <c r="M24" s="4"/>
      <c r="N24" s="3"/>
      <c r="O24" s="3"/>
      <c r="P24" s="3"/>
      <c r="Q24" s="3"/>
      <c r="R24" s="3"/>
      <c r="S24" s="19"/>
      <c r="T24" s="19"/>
      <c r="U24" s="2">
        <f>DATEDIF(Table1[[#This Row],[Start Date*]],Table1[[#This Row],[End Date*]],"d")</f>
        <v>0</v>
      </c>
      <c r="V24" s="18">
        <f>SUM(Table1[[#This Row],[DB]:[EH]])</f>
        <v>0</v>
      </c>
      <c r="W24" s="3"/>
      <c r="X24" s="3"/>
      <c r="Y24" s="3"/>
      <c r="Z24" s="3"/>
      <c r="AC24" s="3"/>
      <c r="AD24" s="8"/>
      <c r="AE24" s="8"/>
      <c r="AF24" s="3"/>
      <c r="AG24" s="3"/>
      <c r="AH24" s="3"/>
      <c r="AI24" s="3"/>
      <c r="AJ24" s="3"/>
      <c r="AK24" s="17">
        <f>SUBTOTAL(9,Table1[[#This Row],[Online Learning]:[Other]])</f>
        <v>0</v>
      </c>
      <c r="AL24" s="17"/>
      <c r="AM24" s="24"/>
      <c r="AN24" s="24"/>
      <c r="AO24" s="24"/>
      <c r="AP24" s="24"/>
      <c r="AQ24" s="24"/>
      <c r="AR24" s="24"/>
      <c r="AS24" s="46"/>
      <c r="AT24" s="47"/>
      <c r="AU24" s="14">
        <f>SUM(Table1[[#This Row],[*Learning Model (Daniel)]:[Other2]])</f>
        <v>0</v>
      </c>
      <c r="AV24" s="3"/>
      <c r="AW24" s="3"/>
      <c r="AX24" s="3"/>
    </row>
    <row r="25" spans="1:50" x14ac:dyDescent="0.25">
      <c r="A25" s="21" t="s">
        <v>451</v>
      </c>
      <c r="B25" s="8" t="s">
        <v>5</v>
      </c>
      <c r="C25" s="13" t="s">
        <v>450</v>
      </c>
      <c r="D25" s="13" t="s">
        <v>513</v>
      </c>
      <c r="E25" s="13" t="s">
        <v>517</v>
      </c>
      <c r="F25" s="13" t="s">
        <v>35</v>
      </c>
      <c r="G25" s="3" t="s">
        <v>452</v>
      </c>
      <c r="H25" s="3"/>
      <c r="I25" s="3"/>
      <c r="J25" s="4"/>
      <c r="K25" s="4"/>
      <c r="L25" s="11"/>
      <c r="M25" s="4"/>
      <c r="N25" s="3"/>
      <c r="O25" s="3"/>
      <c r="P25" s="3"/>
      <c r="Q25" s="3"/>
      <c r="R25" s="3"/>
      <c r="S25" s="19"/>
      <c r="T25" s="19"/>
      <c r="U25" s="2">
        <f>DATEDIF(Table1[[#This Row],[Start Date*]],Table1[[#This Row],[End Date*]],"d")</f>
        <v>0</v>
      </c>
      <c r="V25" s="18">
        <f>SUM(Table1[[#This Row],[DB]:[EH]])</f>
        <v>0</v>
      </c>
      <c r="W25" s="3"/>
      <c r="X25" s="3"/>
      <c r="Y25" s="3"/>
      <c r="Z25" s="3"/>
      <c r="AC25" s="3"/>
      <c r="AD25" s="8"/>
      <c r="AE25" s="8"/>
      <c r="AF25" s="3"/>
      <c r="AG25" s="3"/>
      <c r="AH25" s="3"/>
      <c r="AI25" s="3"/>
      <c r="AJ25" s="3"/>
      <c r="AK25" s="17">
        <f>SUBTOTAL(9,Table1[[#This Row],[Online Learning]:[Other]])</f>
        <v>0</v>
      </c>
      <c r="AL25" s="17"/>
      <c r="AM25" s="24"/>
      <c r="AN25" s="24"/>
      <c r="AO25" s="24"/>
      <c r="AP25" s="24"/>
      <c r="AQ25" s="24"/>
      <c r="AR25" s="24"/>
      <c r="AS25" s="46"/>
      <c r="AT25" s="47"/>
      <c r="AU25" s="14">
        <f>SUM(Table1[[#This Row],[*Learning Model (Daniel)]:[Other2]])</f>
        <v>0</v>
      </c>
      <c r="AV25" s="3"/>
      <c r="AW25" s="3"/>
      <c r="AX25" s="3"/>
    </row>
    <row r="26" spans="1:50" x14ac:dyDescent="0.25">
      <c r="A26" s="21" t="s">
        <v>448</v>
      </c>
      <c r="B26" s="8" t="s">
        <v>5</v>
      </c>
      <c r="C26" s="13" t="s">
        <v>447</v>
      </c>
      <c r="D26" s="13" t="s">
        <v>513</v>
      </c>
      <c r="E26" s="13" t="s">
        <v>517</v>
      </c>
      <c r="F26" s="13" t="s">
        <v>35</v>
      </c>
      <c r="G26" s="3" t="s">
        <v>449</v>
      </c>
      <c r="H26" s="3"/>
      <c r="I26" s="3"/>
      <c r="J26" s="4"/>
      <c r="K26" s="4"/>
      <c r="L26" s="11"/>
      <c r="M26" s="4"/>
      <c r="N26" s="3"/>
      <c r="O26" s="3"/>
      <c r="P26" s="3"/>
      <c r="Q26" s="3"/>
      <c r="R26" s="3"/>
      <c r="S26" s="19"/>
      <c r="T26" s="19"/>
      <c r="U26" s="2">
        <f>DATEDIF(Table1[[#This Row],[Start Date*]],Table1[[#This Row],[End Date*]],"d")</f>
        <v>0</v>
      </c>
      <c r="V26" s="18">
        <f>SUM(Table1[[#This Row],[DB]:[EH]])</f>
        <v>0</v>
      </c>
      <c r="W26" s="3"/>
      <c r="X26" s="3"/>
      <c r="Y26" s="3"/>
      <c r="Z26" s="3"/>
      <c r="AC26" s="3"/>
      <c r="AD26" s="8"/>
      <c r="AE26" s="8"/>
      <c r="AF26" s="3"/>
      <c r="AG26" s="3"/>
      <c r="AH26" s="3"/>
      <c r="AI26" s="3"/>
      <c r="AJ26" s="3"/>
      <c r="AK26" s="17">
        <f>SUBTOTAL(9,Table1[[#This Row],[Online Learning]:[Other]])</f>
        <v>0</v>
      </c>
      <c r="AL26" s="17"/>
      <c r="AM26" s="24"/>
      <c r="AN26" s="24"/>
      <c r="AO26" s="24"/>
      <c r="AP26" s="24"/>
      <c r="AQ26" s="24"/>
      <c r="AR26" s="24"/>
      <c r="AS26" s="46"/>
      <c r="AT26" s="47"/>
      <c r="AU26" s="14">
        <f>SUM(Table1[[#This Row],[*Learning Model (Daniel)]:[Other2]])</f>
        <v>0</v>
      </c>
      <c r="AV26" s="3"/>
      <c r="AW26" s="3"/>
      <c r="AX26" s="3"/>
    </row>
    <row r="27" spans="1:50" x14ac:dyDescent="0.25">
      <c r="A27" s="21" t="s">
        <v>445</v>
      </c>
      <c r="B27" s="8" t="s">
        <v>5</v>
      </c>
      <c r="C27" s="13" t="s">
        <v>444</v>
      </c>
      <c r="D27" s="13" t="s">
        <v>513</v>
      </c>
      <c r="E27" s="13" t="s">
        <v>516</v>
      </c>
      <c r="F27" s="13"/>
      <c r="G27" s="3" t="s">
        <v>446</v>
      </c>
      <c r="H27" s="3"/>
      <c r="I27" s="3"/>
      <c r="J27" s="4"/>
      <c r="K27" s="4"/>
      <c r="L27" s="11"/>
      <c r="M27" s="4"/>
      <c r="N27" s="3"/>
      <c r="O27" s="3"/>
      <c r="P27" s="3"/>
      <c r="Q27" s="3"/>
      <c r="R27" s="3"/>
      <c r="S27" s="19"/>
      <c r="T27" s="19"/>
      <c r="U27" s="2">
        <f>DATEDIF(Table1[[#This Row],[Start Date*]],Table1[[#This Row],[End Date*]],"d")</f>
        <v>0</v>
      </c>
      <c r="V27" s="18">
        <f>SUM(Table1[[#This Row],[DB]:[EH]])</f>
        <v>0</v>
      </c>
      <c r="W27" s="3"/>
      <c r="X27" s="3"/>
      <c r="Y27" s="3"/>
      <c r="Z27" s="3"/>
      <c r="AC27" s="3"/>
      <c r="AD27" s="8"/>
      <c r="AE27" s="8"/>
      <c r="AF27" s="3"/>
      <c r="AG27" s="3"/>
      <c r="AH27" s="3"/>
      <c r="AI27" s="3"/>
      <c r="AJ27" s="3"/>
      <c r="AK27" s="17">
        <f>SUBTOTAL(9,Table1[[#This Row],[Online Learning]:[Other]])</f>
        <v>0</v>
      </c>
      <c r="AL27" s="17"/>
      <c r="AM27" s="24"/>
      <c r="AN27" s="24"/>
      <c r="AO27" s="24"/>
      <c r="AP27" s="24"/>
      <c r="AQ27" s="24"/>
      <c r="AR27" s="24"/>
      <c r="AS27" s="46"/>
      <c r="AT27" s="47"/>
      <c r="AU27" s="14">
        <f>SUM(Table1[[#This Row],[*Learning Model (Daniel)]:[Other2]])</f>
        <v>0</v>
      </c>
      <c r="AV27" s="3"/>
      <c r="AW27" s="3"/>
      <c r="AX27" s="3"/>
    </row>
    <row r="28" spans="1:50" x14ac:dyDescent="0.25">
      <c r="A28" s="21" t="s">
        <v>442</v>
      </c>
      <c r="B28" s="8" t="s">
        <v>5</v>
      </c>
      <c r="C28" s="13" t="s">
        <v>441</v>
      </c>
      <c r="D28" s="13" t="s">
        <v>513</v>
      </c>
      <c r="E28" s="13" t="s">
        <v>516</v>
      </c>
      <c r="F28" s="13"/>
      <c r="G28" s="3" t="s">
        <v>443</v>
      </c>
      <c r="H28" s="3"/>
      <c r="I28" s="3"/>
      <c r="J28" s="4"/>
      <c r="K28" s="4"/>
      <c r="L28" s="11"/>
      <c r="M28" s="4"/>
      <c r="N28" s="3"/>
      <c r="O28" s="3"/>
      <c r="P28" s="3"/>
      <c r="Q28" s="3"/>
      <c r="R28" s="3"/>
      <c r="S28" s="19"/>
      <c r="T28" s="19"/>
      <c r="U28" s="2">
        <f>DATEDIF(Table1[[#This Row],[Start Date*]],Table1[[#This Row],[End Date*]],"d")</f>
        <v>0</v>
      </c>
      <c r="V28" s="18">
        <f>SUM(Table1[[#This Row],[DB]:[EH]])</f>
        <v>0</v>
      </c>
      <c r="W28" s="3"/>
      <c r="X28" s="3"/>
      <c r="Y28" s="3"/>
      <c r="Z28" s="3"/>
      <c r="AC28" s="3"/>
      <c r="AD28" s="8"/>
      <c r="AE28" s="8"/>
      <c r="AF28" s="3"/>
      <c r="AG28" s="3"/>
      <c r="AH28" s="3"/>
      <c r="AI28" s="3"/>
      <c r="AJ28" s="3"/>
      <c r="AK28" s="17">
        <f>SUBTOTAL(9,Table1[[#This Row],[Online Learning]:[Other]])</f>
        <v>0</v>
      </c>
      <c r="AL28" s="17"/>
      <c r="AM28" s="24"/>
      <c r="AN28" s="24"/>
      <c r="AO28" s="24"/>
      <c r="AP28" s="24"/>
      <c r="AQ28" s="24"/>
      <c r="AR28" s="24"/>
      <c r="AS28" s="46"/>
      <c r="AT28" s="47"/>
      <c r="AU28" s="14">
        <f>SUM(Table1[[#This Row],[*Learning Model (Daniel)]:[Other2]])</f>
        <v>0</v>
      </c>
      <c r="AV28" s="3"/>
      <c r="AW28" s="3"/>
      <c r="AX28" s="3"/>
    </row>
    <row r="29" spans="1:50" x14ac:dyDescent="0.25">
      <c r="A29" s="21" t="s">
        <v>439</v>
      </c>
      <c r="B29" s="8" t="s">
        <v>5</v>
      </c>
      <c r="C29" s="13" t="s">
        <v>438</v>
      </c>
      <c r="D29" s="13" t="s">
        <v>513</v>
      </c>
      <c r="E29" s="13" t="s">
        <v>516</v>
      </c>
      <c r="F29" s="13" t="s">
        <v>551</v>
      </c>
      <c r="G29" s="3" t="s">
        <v>440</v>
      </c>
      <c r="H29" s="3"/>
      <c r="I29" s="3"/>
      <c r="J29" s="4"/>
      <c r="K29" s="4"/>
      <c r="L29" s="11"/>
      <c r="M29" s="4"/>
      <c r="N29" s="3"/>
      <c r="O29" s="3"/>
      <c r="P29" s="3"/>
      <c r="Q29" s="3"/>
      <c r="R29" s="3"/>
      <c r="S29" s="19"/>
      <c r="T29" s="19"/>
      <c r="U29" s="2">
        <f>DATEDIF(Table1[[#This Row],[Start Date*]],Table1[[#This Row],[End Date*]],"d")</f>
        <v>0</v>
      </c>
      <c r="V29" s="18">
        <f>SUM(Table1[[#This Row],[DB]:[EH]])</f>
        <v>0</v>
      </c>
      <c r="W29" s="3"/>
      <c r="X29" s="3"/>
      <c r="Y29" s="3"/>
      <c r="Z29" s="3"/>
      <c r="AC29" s="3"/>
      <c r="AD29" s="8"/>
      <c r="AE29" s="8"/>
      <c r="AF29" s="3"/>
      <c r="AG29" s="3"/>
      <c r="AH29" s="3"/>
      <c r="AI29" s="3"/>
      <c r="AJ29" s="3"/>
      <c r="AK29" s="17">
        <f>SUBTOTAL(9,Table1[[#This Row],[Online Learning]:[Other]])</f>
        <v>0</v>
      </c>
      <c r="AL29" s="17"/>
      <c r="AM29" s="24"/>
      <c r="AN29" s="24"/>
      <c r="AO29" s="24"/>
      <c r="AP29" s="24"/>
      <c r="AQ29" s="24"/>
      <c r="AR29" s="24"/>
      <c r="AS29" s="46"/>
      <c r="AT29" s="47"/>
      <c r="AU29" s="14">
        <f>SUM(Table1[[#This Row],[*Learning Model (Daniel)]:[Other2]])</f>
        <v>0</v>
      </c>
      <c r="AV29" s="3"/>
      <c r="AW29" s="3"/>
      <c r="AX29" s="3"/>
    </row>
    <row r="30" spans="1:50" x14ac:dyDescent="0.25">
      <c r="A30" s="21" t="s">
        <v>436</v>
      </c>
      <c r="B30" s="8" t="s">
        <v>5</v>
      </c>
      <c r="C30" s="13" t="s">
        <v>435</v>
      </c>
      <c r="D30" s="13" t="s">
        <v>513</v>
      </c>
      <c r="E30" s="13" t="s">
        <v>516</v>
      </c>
      <c r="F30" s="13" t="s">
        <v>551</v>
      </c>
      <c r="G30" s="3" t="s">
        <v>437</v>
      </c>
      <c r="H30" s="3"/>
      <c r="I30" s="3"/>
      <c r="J30" s="4"/>
      <c r="K30" s="4"/>
      <c r="L30" s="11"/>
      <c r="M30" s="4"/>
      <c r="N30" s="3"/>
      <c r="O30" s="3"/>
      <c r="P30" s="3"/>
      <c r="Q30" s="3"/>
      <c r="R30" s="3"/>
      <c r="S30" s="19"/>
      <c r="T30" s="19"/>
      <c r="U30" s="2">
        <f>DATEDIF(Table1[[#This Row],[Start Date*]],Table1[[#This Row],[End Date*]],"d")</f>
        <v>0</v>
      </c>
      <c r="V30" s="18">
        <f>SUM(Table1[[#This Row],[DB]:[EH]])</f>
        <v>0</v>
      </c>
      <c r="W30" s="3"/>
      <c r="X30" s="3"/>
      <c r="Y30" s="3"/>
      <c r="Z30" s="3"/>
      <c r="AC30" s="3"/>
      <c r="AD30" s="8"/>
      <c r="AE30" s="8"/>
      <c r="AF30" s="3"/>
      <c r="AG30" s="3"/>
      <c r="AH30" s="3"/>
      <c r="AI30" s="3"/>
      <c r="AJ30" s="3"/>
      <c r="AK30" s="17">
        <f>SUBTOTAL(9,Table1[[#This Row],[Online Learning]:[Other]])</f>
        <v>0</v>
      </c>
      <c r="AL30" s="17"/>
      <c r="AM30" s="24"/>
      <c r="AN30" s="24"/>
      <c r="AO30" s="24"/>
      <c r="AP30" s="24"/>
      <c r="AQ30" s="24"/>
      <c r="AR30" s="24"/>
      <c r="AS30" s="46"/>
      <c r="AT30" s="47"/>
      <c r="AU30" s="14">
        <f>SUM(Table1[[#This Row],[*Learning Model (Daniel)]:[Other2]])</f>
        <v>0</v>
      </c>
      <c r="AV30" s="3"/>
      <c r="AW30" s="3"/>
      <c r="AX30" s="3"/>
    </row>
    <row r="31" spans="1:50" x14ac:dyDescent="0.25">
      <c r="A31" s="21" t="s">
        <v>433</v>
      </c>
      <c r="B31" s="8" t="s">
        <v>5</v>
      </c>
      <c r="C31" s="13" t="s">
        <v>432</v>
      </c>
      <c r="D31" s="13" t="s">
        <v>513</v>
      </c>
      <c r="E31" s="13" t="s">
        <v>516</v>
      </c>
      <c r="F31" s="13"/>
      <c r="G31" s="3" t="s">
        <v>434</v>
      </c>
      <c r="H31" s="3"/>
      <c r="I31" s="3"/>
      <c r="J31" s="4"/>
      <c r="K31" s="4"/>
      <c r="L31" s="11"/>
      <c r="M31" s="4"/>
      <c r="N31" s="3"/>
      <c r="O31" s="3"/>
      <c r="P31" s="3"/>
      <c r="Q31" s="3"/>
      <c r="R31" s="3"/>
      <c r="S31" s="19"/>
      <c r="T31" s="19"/>
      <c r="U31" s="2">
        <f>DATEDIF(Table1[[#This Row],[Start Date*]],Table1[[#This Row],[End Date*]],"d")</f>
        <v>0</v>
      </c>
      <c r="V31" s="18">
        <f>SUM(Table1[[#This Row],[DB]:[EH]])</f>
        <v>0</v>
      </c>
      <c r="W31" s="3"/>
      <c r="X31" s="3"/>
      <c r="Y31" s="3"/>
      <c r="Z31" s="3"/>
      <c r="AC31" s="3"/>
      <c r="AD31" s="8"/>
      <c r="AE31" s="8"/>
      <c r="AF31" s="3"/>
      <c r="AG31" s="3"/>
      <c r="AH31" s="3"/>
      <c r="AI31" s="3"/>
      <c r="AJ31" s="3"/>
      <c r="AK31" s="17">
        <f>SUBTOTAL(9,Table1[[#This Row],[Online Learning]:[Other]])</f>
        <v>0</v>
      </c>
      <c r="AL31" s="17"/>
      <c r="AM31" s="24"/>
      <c r="AN31" s="24"/>
      <c r="AO31" s="24"/>
      <c r="AP31" s="24"/>
      <c r="AQ31" s="24"/>
      <c r="AR31" s="24"/>
      <c r="AS31" s="46"/>
      <c r="AT31" s="47"/>
      <c r="AU31" s="14">
        <f>SUM(Table1[[#This Row],[*Learning Model (Daniel)]:[Other2]])</f>
        <v>0</v>
      </c>
      <c r="AV31" s="3"/>
      <c r="AW31" s="3"/>
      <c r="AX31" s="3"/>
    </row>
    <row r="32" spans="1:50" x14ac:dyDescent="0.25">
      <c r="A32" s="21" t="s">
        <v>430</v>
      </c>
      <c r="B32" s="8" t="s">
        <v>5</v>
      </c>
      <c r="C32" s="13" t="s">
        <v>429</v>
      </c>
      <c r="D32" s="13" t="s">
        <v>513</v>
      </c>
      <c r="E32" s="13" t="s">
        <v>516</v>
      </c>
      <c r="F32" s="13"/>
      <c r="G32" s="3" t="s">
        <v>431</v>
      </c>
      <c r="H32" s="3"/>
      <c r="I32" s="3"/>
      <c r="J32" s="4"/>
      <c r="K32" s="4"/>
      <c r="L32" s="11"/>
      <c r="M32" s="4"/>
      <c r="N32" s="3"/>
      <c r="O32" s="3"/>
      <c r="P32" s="3"/>
      <c r="Q32" s="3"/>
      <c r="R32" s="3"/>
      <c r="S32" s="19"/>
      <c r="T32" s="19"/>
      <c r="U32" s="2">
        <f>DATEDIF(Table1[[#This Row],[Start Date*]],Table1[[#This Row],[End Date*]],"d")</f>
        <v>0</v>
      </c>
      <c r="V32" s="18">
        <f>SUM(Table1[[#This Row],[DB]:[EH]])</f>
        <v>0</v>
      </c>
      <c r="W32" s="3"/>
      <c r="X32" s="3"/>
      <c r="Y32" s="3"/>
      <c r="Z32" s="3"/>
      <c r="AC32" s="3"/>
      <c r="AD32" s="8"/>
      <c r="AE32" s="8"/>
      <c r="AF32" s="3"/>
      <c r="AG32" s="3"/>
      <c r="AH32" s="3"/>
      <c r="AI32" s="3"/>
      <c r="AJ32" s="3"/>
      <c r="AK32" s="17">
        <f>SUBTOTAL(9,Table1[[#This Row],[Online Learning]:[Other]])</f>
        <v>0</v>
      </c>
      <c r="AL32" s="17"/>
      <c r="AM32" s="24"/>
      <c r="AN32" s="24"/>
      <c r="AO32" s="24"/>
      <c r="AP32" s="24"/>
      <c r="AQ32" s="24"/>
      <c r="AR32" s="24"/>
      <c r="AS32" s="46"/>
      <c r="AT32" s="47"/>
      <c r="AU32" s="14">
        <f>SUM(Table1[[#This Row],[*Learning Model (Daniel)]:[Other2]])</f>
        <v>0</v>
      </c>
      <c r="AV32" s="3"/>
      <c r="AW32" s="3"/>
      <c r="AX32" s="3"/>
    </row>
    <row r="33" spans="1:50" x14ac:dyDescent="0.25">
      <c r="A33" s="21" t="s">
        <v>427</v>
      </c>
      <c r="B33" s="8" t="s">
        <v>5</v>
      </c>
      <c r="C33" s="13" t="s">
        <v>426</v>
      </c>
      <c r="D33" s="13" t="s">
        <v>513</v>
      </c>
      <c r="E33" s="13" t="s">
        <v>516</v>
      </c>
      <c r="F33" s="13" t="s">
        <v>558</v>
      </c>
      <c r="G33" s="3" t="s">
        <v>428</v>
      </c>
      <c r="H33" s="3"/>
      <c r="I33" s="3"/>
      <c r="J33" s="4"/>
      <c r="K33" s="4"/>
      <c r="L33" s="11"/>
      <c r="M33" s="4"/>
      <c r="N33" s="3"/>
      <c r="O33" s="3"/>
      <c r="P33" s="3"/>
      <c r="Q33" s="3"/>
      <c r="R33" s="3"/>
      <c r="S33" s="19"/>
      <c r="T33" s="19"/>
      <c r="U33" s="2">
        <f>DATEDIF(Table1[[#This Row],[Start Date*]],Table1[[#This Row],[End Date*]],"d")</f>
        <v>0</v>
      </c>
      <c r="V33" s="18">
        <f>SUM(Table1[[#This Row],[DB]:[EH]])</f>
        <v>0</v>
      </c>
      <c r="W33" s="3"/>
      <c r="X33" s="3"/>
      <c r="Y33" s="3"/>
      <c r="Z33" s="3"/>
      <c r="AC33" s="3"/>
      <c r="AD33" s="8"/>
      <c r="AE33" s="8"/>
      <c r="AF33" s="3"/>
      <c r="AG33" s="3"/>
      <c r="AH33" s="3"/>
      <c r="AI33" s="3"/>
      <c r="AJ33" s="3"/>
      <c r="AK33" s="17">
        <f>SUBTOTAL(9,Table1[[#This Row],[Online Learning]:[Other]])</f>
        <v>0</v>
      </c>
      <c r="AL33" s="17"/>
      <c r="AM33" s="24"/>
      <c r="AN33" s="24"/>
      <c r="AO33" s="24"/>
      <c r="AP33" s="24"/>
      <c r="AQ33" s="24"/>
      <c r="AR33" s="24"/>
      <c r="AS33" s="46"/>
      <c r="AT33" s="47"/>
      <c r="AU33" s="14">
        <f>SUM(Table1[[#This Row],[*Learning Model (Daniel)]:[Other2]])</f>
        <v>0</v>
      </c>
      <c r="AV33" s="3"/>
      <c r="AW33" s="3"/>
      <c r="AX33" s="3"/>
    </row>
    <row r="34" spans="1:50" x14ac:dyDescent="0.25">
      <c r="A34" s="21" t="s">
        <v>424</v>
      </c>
      <c r="B34" s="8" t="s">
        <v>5</v>
      </c>
      <c r="C34" s="13" t="s">
        <v>423</v>
      </c>
      <c r="D34" s="13" t="s">
        <v>513</v>
      </c>
      <c r="E34" s="13" t="s">
        <v>515</v>
      </c>
      <c r="F34" s="13" t="s">
        <v>558</v>
      </c>
      <c r="G34" s="3" t="s">
        <v>425</v>
      </c>
      <c r="H34" s="3"/>
      <c r="I34" s="3"/>
      <c r="J34" s="4"/>
      <c r="K34" s="4"/>
      <c r="L34" s="11"/>
      <c r="M34" s="4"/>
      <c r="N34" s="3"/>
      <c r="O34" s="3"/>
      <c r="P34" s="3"/>
      <c r="Q34" s="3"/>
      <c r="R34" s="3"/>
      <c r="S34" s="19"/>
      <c r="T34" s="19"/>
      <c r="U34" s="2">
        <f>DATEDIF(Table1[[#This Row],[Start Date*]],Table1[[#This Row],[End Date*]],"d")</f>
        <v>0</v>
      </c>
      <c r="V34" s="18">
        <f>SUM(Table1[[#This Row],[DB]:[EH]])</f>
        <v>0</v>
      </c>
      <c r="W34" s="3"/>
      <c r="X34" s="3"/>
      <c r="Y34" s="3"/>
      <c r="Z34" s="3"/>
      <c r="AC34" s="3"/>
      <c r="AD34" s="8"/>
      <c r="AE34" s="8"/>
      <c r="AF34" s="3"/>
      <c r="AG34" s="3"/>
      <c r="AH34" s="3"/>
      <c r="AI34" s="3"/>
      <c r="AJ34" s="3"/>
      <c r="AK34" s="17">
        <f>SUBTOTAL(9,Table1[[#This Row],[Online Learning]:[Other]])</f>
        <v>0</v>
      </c>
      <c r="AL34" s="17"/>
      <c r="AM34" s="24"/>
      <c r="AN34" s="24"/>
      <c r="AO34" s="24"/>
      <c r="AP34" s="24"/>
      <c r="AQ34" s="24"/>
      <c r="AR34" s="24"/>
      <c r="AS34" s="46"/>
      <c r="AT34" s="47"/>
      <c r="AU34" s="14">
        <f>SUM(Table1[[#This Row],[*Learning Model (Daniel)]:[Other2]])</f>
        <v>0</v>
      </c>
      <c r="AV34" s="3"/>
      <c r="AW34" s="3"/>
      <c r="AX34" s="3"/>
    </row>
    <row r="35" spans="1:50" x14ac:dyDescent="0.25">
      <c r="A35" s="21" t="s">
        <v>421</v>
      </c>
      <c r="B35" s="8" t="s">
        <v>5</v>
      </c>
      <c r="C35" s="13" t="s">
        <v>420</v>
      </c>
      <c r="D35" s="13" t="s">
        <v>513</v>
      </c>
      <c r="E35" s="13" t="s">
        <v>515</v>
      </c>
      <c r="F35" s="13"/>
      <c r="G35" s="3" t="s">
        <v>422</v>
      </c>
      <c r="H35" s="3"/>
      <c r="I35" s="3"/>
      <c r="J35" s="4"/>
      <c r="K35" s="4"/>
      <c r="L35" s="11"/>
      <c r="M35" s="4"/>
      <c r="N35" s="3"/>
      <c r="O35" s="3"/>
      <c r="P35" s="3"/>
      <c r="Q35" s="3"/>
      <c r="R35" s="3"/>
      <c r="S35" s="19"/>
      <c r="T35" s="19"/>
      <c r="U35" s="2">
        <f>DATEDIF(Table1[[#This Row],[Start Date*]],Table1[[#This Row],[End Date*]],"d")</f>
        <v>0</v>
      </c>
      <c r="V35" s="18">
        <f>SUM(Table1[[#This Row],[DB]:[EH]])</f>
        <v>0</v>
      </c>
      <c r="W35" s="3"/>
      <c r="X35" s="3"/>
      <c r="Y35" s="3"/>
      <c r="Z35" s="3"/>
      <c r="AC35" s="3"/>
      <c r="AD35" s="8"/>
      <c r="AE35" s="8"/>
      <c r="AF35" s="3"/>
      <c r="AG35" s="3"/>
      <c r="AH35" s="3"/>
      <c r="AI35" s="3"/>
      <c r="AJ35" s="3"/>
      <c r="AK35" s="17">
        <f>SUBTOTAL(9,Table1[[#This Row],[Online Learning]:[Other]])</f>
        <v>0</v>
      </c>
      <c r="AL35" s="17"/>
      <c r="AM35" s="24"/>
      <c r="AN35" s="24"/>
      <c r="AO35" s="24"/>
      <c r="AP35" s="24"/>
      <c r="AQ35" s="24"/>
      <c r="AR35" s="24"/>
      <c r="AS35" s="46"/>
      <c r="AT35" s="47"/>
      <c r="AU35" s="14">
        <f>SUM(Table1[[#This Row],[*Learning Model (Daniel)]:[Other2]])</f>
        <v>0</v>
      </c>
      <c r="AV35" s="3"/>
      <c r="AW35" s="3"/>
      <c r="AX35" s="3"/>
    </row>
    <row r="36" spans="1:50" x14ac:dyDescent="0.25">
      <c r="A36" s="21" t="s">
        <v>418</v>
      </c>
      <c r="B36" s="8" t="s">
        <v>5</v>
      </c>
      <c r="C36" s="13" t="s">
        <v>417</v>
      </c>
      <c r="D36" s="13" t="s">
        <v>513</v>
      </c>
      <c r="E36" s="13" t="s">
        <v>515</v>
      </c>
      <c r="F36" s="13"/>
      <c r="G36" s="3" t="s">
        <v>419</v>
      </c>
      <c r="H36" s="3"/>
      <c r="I36" s="3"/>
      <c r="J36" s="4"/>
      <c r="K36" s="4"/>
      <c r="L36" s="11"/>
      <c r="M36" s="4"/>
      <c r="N36" s="3"/>
      <c r="O36" s="3"/>
      <c r="P36" s="3"/>
      <c r="Q36" s="3"/>
      <c r="R36" s="3"/>
      <c r="S36" s="19"/>
      <c r="T36" s="19"/>
      <c r="U36" s="2">
        <f>DATEDIF(Table1[[#This Row],[Start Date*]],Table1[[#This Row],[End Date*]],"d")</f>
        <v>0</v>
      </c>
      <c r="V36" s="18">
        <f>SUM(Table1[[#This Row],[DB]:[EH]])</f>
        <v>0</v>
      </c>
      <c r="W36" s="3"/>
      <c r="X36" s="3"/>
      <c r="Y36" s="3"/>
      <c r="Z36" s="3"/>
      <c r="AC36" s="3"/>
      <c r="AD36" s="8"/>
      <c r="AE36" s="8"/>
      <c r="AF36" s="3"/>
      <c r="AG36" s="3"/>
      <c r="AH36" s="3"/>
      <c r="AI36" s="3"/>
      <c r="AJ36" s="3"/>
      <c r="AK36" s="17">
        <f>SUBTOTAL(9,Table1[[#This Row],[Online Learning]:[Other]])</f>
        <v>0</v>
      </c>
      <c r="AL36" s="17"/>
      <c r="AM36" s="24"/>
      <c r="AN36" s="24"/>
      <c r="AO36" s="24"/>
      <c r="AP36" s="24"/>
      <c r="AQ36" s="24"/>
      <c r="AR36" s="24"/>
      <c r="AS36" s="46"/>
      <c r="AT36" s="47"/>
      <c r="AU36" s="14">
        <f>SUM(Table1[[#This Row],[*Learning Model (Daniel)]:[Other2]])</f>
        <v>0</v>
      </c>
      <c r="AV36" s="3"/>
      <c r="AW36" s="3"/>
      <c r="AX36" s="3"/>
    </row>
    <row r="37" spans="1:50" x14ac:dyDescent="0.25">
      <c r="A37" s="21" t="s">
        <v>415</v>
      </c>
      <c r="B37" s="8" t="s">
        <v>5</v>
      </c>
      <c r="C37" s="13" t="s">
        <v>414</v>
      </c>
      <c r="D37" s="13" t="s">
        <v>513</v>
      </c>
      <c r="E37" s="13" t="s">
        <v>515</v>
      </c>
      <c r="F37" s="13"/>
      <c r="G37" s="3" t="s">
        <v>416</v>
      </c>
      <c r="H37" s="3"/>
      <c r="I37" s="3"/>
      <c r="J37" s="4"/>
      <c r="K37" s="4"/>
      <c r="L37" s="11"/>
      <c r="M37" s="4"/>
      <c r="N37" s="3"/>
      <c r="O37" s="3"/>
      <c r="P37" s="3"/>
      <c r="Q37" s="3"/>
      <c r="R37" s="3"/>
      <c r="S37" s="19"/>
      <c r="T37" s="19"/>
      <c r="U37" s="2">
        <f>DATEDIF(Table1[[#This Row],[Start Date*]],Table1[[#This Row],[End Date*]],"d")</f>
        <v>0</v>
      </c>
      <c r="V37" s="18">
        <f>SUM(Table1[[#This Row],[DB]:[EH]])</f>
        <v>0</v>
      </c>
      <c r="W37" s="3"/>
      <c r="X37" s="3"/>
      <c r="Y37" s="3"/>
      <c r="Z37" s="3"/>
      <c r="AC37" s="3"/>
      <c r="AD37" s="8"/>
      <c r="AE37" s="8"/>
      <c r="AF37" s="3"/>
      <c r="AG37" s="3"/>
      <c r="AH37" s="3"/>
      <c r="AI37" s="3"/>
      <c r="AJ37" s="3"/>
      <c r="AK37" s="17">
        <f>SUBTOTAL(9,Table1[[#This Row],[Online Learning]:[Other]])</f>
        <v>0</v>
      </c>
      <c r="AL37" s="17"/>
      <c r="AM37" s="24"/>
      <c r="AN37" s="24"/>
      <c r="AO37" s="24"/>
      <c r="AP37" s="24"/>
      <c r="AQ37" s="24"/>
      <c r="AR37" s="24"/>
      <c r="AS37" s="46"/>
      <c r="AT37" s="47"/>
      <c r="AU37" s="14">
        <f>SUM(Table1[[#This Row],[*Learning Model (Daniel)]:[Other2]])</f>
        <v>0</v>
      </c>
      <c r="AV37" s="3"/>
      <c r="AW37" s="3"/>
      <c r="AX37" s="3"/>
    </row>
    <row r="38" spans="1:50" x14ac:dyDescent="0.25">
      <c r="A38" s="21" t="s">
        <v>412</v>
      </c>
      <c r="B38" s="8" t="s">
        <v>5</v>
      </c>
      <c r="C38" s="13" t="s">
        <v>411</v>
      </c>
      <c r="D38" s="13" t="s">
        <v>513</v>
      </c>
      <c r="E38" s="13" t="s">
        <v>515</v>
      </c>
      <c r="F38" s="13"/>
      <c r="G38" s="3" t="s">
        <v>413</v>
      </c>
      <c r="H38" s="3"/>
      <c r="I38" s="3"/>
      <c r="J38" s="4"/>
      <c r="K38" s="4"/>
      <c r="L38" s="11"/>
      <c r="M38" s="4"/>
      <c r="N38" s="3"/>
      <c r="O38" s="3"/>
      <c r="P38" s="3"/>
      <c r="Q38" s="3"/>
      <c r="R38" s="3"/>
      <c r="S38" s="19"/>
      <c r="T38" s="19"/>
      <c r="U38" s="2">
        <f>DATEDIF(Table1[[#This Row],[Start Date*]],Table1[[#This Row],[End Date*]],"d")</f>
        <v>0</v>
      </c>
      <c r="V38" s="18">
        <f>SUM(Table1[[#This Row],[DB]:[EH]])</f>
        <v>0</v>
      </c>
      <c r="W38" s="3"/>
      <c r="X38" s="3"/>
      <c r="Y38" s="3"/>
      <c r="Z38" s="3"/>
      <c r="AC38" s="3"/>
      <c r="AD38" s="8"/>
      <c r="AE38" s="8"/>
      <c r="AF38" s="3"/>
      <c r="AG38" s="3"/>
      <c r="AH38" s="3"/>
      <c r="AI38" s="3"/>
      <c r="AJ38" s="3"/>
      <c r="AK38" s="17">
        <f>SUBTOTAL(9,Table1[[#This Row],[Online Learning]:[Other]])</f>
        <v>0</v>
      </c>
      <c r="AL38" s="17"/>
      <c r="AM38" s="24"/>
      <c r="AN38" s="24"/>
      <c r="AO38" s="24"/>
      <c r="AP38" s="24"/>
      <c r="AQ38" s="24"/>
      <c r="AR38" s="24"/>
      <c r="AS38" s="46"/>
      <c r="AT38" s="47"/>
      <c r="AU38" s="14">
        <f>SUM(Table1[[#This Row],[*Learning Model (Daniel)]:[Other2]])</f>
        <v>0</v>
      </c>
      <c r="AV38" s="3"/>
      <c r="AW38" s="3"/>
      <c r="AX38" s="3"/>
    </row>
    <row r="39" spans="1:50" x14ac:dyDescent="0.25">
      <c r="A39" s="21" t="s">
        <v>409</v>
      </c>
      <c r="B39" s="8" t="s">
        <v>5</v>
      </c>
      <c r="C39" s="13" t="s">
        <v>408</v>
      </c>
      <c r="D39" s="13" t="s">
        <v>513</v>
      </c>
      <c r="E39" s="13" t="s">
        <v>515</v>
      </c>
      <c r="F39" s="13"/>
      <c r="G39" s="3" t="s">
        <v>410</v>
      </c>
      <c r="H39" s="3"/>
      <c r="I39" s="3"/>
      <c r="J39" s="4"/>
      <c r="K39" s="4"/>
      <c r="L39" s="11"/>
      <c r="M39" s="4"/>
      <c r="N39" s="3"/>
      <c r="O39" s="3"/>
      <c r="P39" s="3"/>
      <c r="Q39" s="3"/>
      <c r="R39" s="3"/>
      <c r="S39" s="19"/>
      <c r="T39" s="19"/>
      <c r="U39" s="2">
        <f>DATEDIF(Table1[[#This Row],[Start Date*]],Table1[[#This Row],[End Date*]],"d")</f>
        <v>0</v>
      </c>
      <c r="V39" s="18">
        <f>SUM(Table1[[#This Row],[DB]:[EH]])</f>
        <v>0</v>
      </c>
      <c r="W39" s="3"/>
      <c r="X39" s="3"/>
      <c r="Y39" s="3"/>
      <c r="Z39" s="3"/>
      <c r="AC39" s="3"/>
      <c r="AD39" s="8"/>
      <c r="AE39" s="8"/>
      <c r="AF39" s="3"/>
      <c r="AG39" s="3"/>
      <c r="AH39" s="3"/>
      <c r="AI39" s="3"/>
      <c r="AJ39" s="3"/>
      <c r="AK39" s="17">
        <f>SUBTOTAL(9,Table1[[#This Row],[Online Learning]:[Other]])</f>
        <v>0</v>
      </c>
      <c r="AL39" s="17"/>
      <c r="AM39" s="24"/>
      <c r="AN39" s="24"/>
      <c r="AO39" s="24"/>
      <c r="AP39" s="24"/>
      <c r="AQ39" s="24"/>
      <c r="AR39" s="24"/>
      <c r="AS39" s="46"/>
      <c r="AT39" s="47"/>
      <c r="AU39" s="14">
        <f>SUM(Table1[[#This Row],[*Learning Model (Daniel)]:[Other2]])</f>
        <v>0</v>
      </c>
      <c r="AV39" s="3"/>
      <c r="AW39" s="3"/>
      <c r="AX39" s="3"/>
    </row>
    <row r="40" spans="1:50" x14ac:dyDescent="0.25">
      <c r="A40" s="21" t="s">
        <v>406</v>
      </c>
      <c r="B40" s="8" t="s">
        <v>5</v>
      </c>
      <c r="C40" s="13" t="s">
        <v>405</v>
      </c>
      <c r="D40" s="13" t="s">
        <v>513</v>
      </c>
      <c r="E40" s="13" t="s">
        <v>515</v>
      </c>
      <c r="F40" s="13" t="s">
        <v>551</v>
      </c>
      <c r="G40" s="3" t="s">
        <v>407</v>
      </c>
      <c r="H40" s="3"/>
      <c r="I40" s="3"/>
      <c r="J40" s="4"/>
      <c r="K40" s="4"/>
      <c r="L40" s="11"/>
      <c r="M40" s="4"/>
      <c r="N40" s="3"/>
      <c r="O40" s="3"/>
      <c r="P40" s="3"/>
      <c r="Q40" s="3"/>
      <c r="R40" s="3"/>
      <c r="S40" s="19"/>
      <c r="T40" s="19"/>
      <c r="U40" s="2">
        <f>DATEDIF(Table1[[#This Row],[Start Date*]],Table1[[#This Row],[End Date*]],"d")</f>
        <v>0</v>
      </c>
      <c r="V40" s="18">
        <f>SUM(Table1[[#This Row],[DB]:[EH]])</f>
        <v>0</v>
      </c>
      <c r="W40" s="3"/>
      <c r="X40" s="3"/>
      <c r="Y40" s="3"/>
      <c r="Z40" s="3"/>
      <c r="AC40" s="3"/>
      <c r="AD40" s="8"/>
      <c r="AE40" s="8"/>
      <c r="AF40" s="3"/>
      <c r="AG40" s="3"/>
      <c r="AH40" s="3"/>
      <c r="AI40" s="3"/>
      <c r="AJ40" s="3"/>
      <c r="AK40" s="17">
        <f>SUBTOTAL(9,Table1[[#This Row],[Online Learning]:[Other]])</f>
        <v>0</v>
      </c>
      <c r="AL40" s="17"/>
      <c r="AM40" s="24"/>
      <c r="AN40" s="24"/>
      <c r="AO40" s="24"/>
      <c r="AP40" s="24"/>
      <c r="AQ40" s="24"/>
      <c r="AR40" s="24"/>
      <c r="AS40" s="46"/>
      <c r="AT40" s="47"/>
      <c r="AU40" s="14">
        <f>SUM(Table1[[#This Row],[*Learning Model (Daniel)]:[Other2]])</f>
        <v>0</v>
      </c>
      <c r="AV40" s="3"/>
      <c r="AW40" s="3"/>
      <c r="AX40" s="3"/>
    </row>
    <row r="41" spans="1:50" x14ac:dyDescent="0.25">
      <c r="A41" s="21" t="s">
        <v>403</v>
      </c>
      <c r="B41" s="8" t="s">
        <v>5</v>
      </c>
      <c r="C41" s="13" t="s">
        <v>402</v>
      </c>
      <c r="D41" s="13" t="s">
        <v>513</v>
      </c>
      <c r="E41" s="13" t="s">
        <v>514</v>
      </c>
      <c r="F41" s="13" t="s">
        <v>551</v>
      </c>
      <c r="G41" s="3" t="s">
        <v>404</v>
      </c>
      <c r="H41" s="3"/>
      <c r="I41" s="3"/>
      <c r="J41" s="4"/>
      <c r="K41" s="4"/>
      <c r="L41" s="11"/>
      <c r="M41" s="4"/>
      <c r="N41" s="3"/>
      <c r="O41" s="3"/>
      <c r="P41" s="3"/>
      <c r="Q41" s="3"/>
      <c r="R41" s="3"/>
      <c r="S41" s="19"/>
      <c r="T41" s="19"/>
      <c r="U41" s="2">
        <f>DATEDIF(Table1[[#This Row],[Start Date*]],Table1[[#This Row],[End Date*]],"d")</f>
        <v>0</v>
      </c>
      <c r="V41" s="18">
        <f>SUM(Table1[[#This Row],[DB]:[EH]])</f>
        <v>0</v>
      </c>
      <c r="W41" s="3"/>
      <c r="X41" s="3"/>
      <c r="Y41" s="3"/>
      <c r="Z41" s="3"/>
      <c r="AC41" s="3"/>
      <c r="AD41" s="8"/>
      <c r="AE41" s="8"/>
      <c r="AF41" s="3"/>
      <c r="AG41" s="3"/>
      <c r="AH41" s="3"/>
      <c r="AI41" s="3"/>
      <c r="AJ41" s="3"/>
      <c r="AK41" s="17">
        <f>SUBTOTAL(9,Table1[[#This Row],[Online Learning]:[Other]])</f>
        <v>0</v>
      </c>
      <c r="AL41" s="17"/>
      <c r="AM41" s="24"/>
      <c r="AN41" s="24"/>
      <c r="AO41" s="24"/>
      <c r="AP41" s="24"/>
      <c r="AQ41" s="24"/>
      <c r="AR41" s="24"/>
      <c r="AS41" s="46"/>
      <c r="AT41" s="47"/>
      <c r="AU41" s="14">
        <f>SUM(Table1[[#This Row],[*Learning Model (Daniel)]:[Other2]])</f>
        <v>0</v>
      </c>
      <c r="AV41" s="3"/>
      <c r="AW41" s="3"/>
      <c r="AX41" s="3"/>
    </row>
    <row r="42" spans="1:50" x14ac:dyDescent="0.25">
      <c r="A42" s="21" t="s">
        <v>400</v>
      </c>
      <c r="B42" s="8" t="s">
        <v>5</v>
      </c>
      <c r="C42" s="13" t="s">
        <v>399</v>
      </c>
      <c r="D42" s="13" t="s">
        <v>513</v>
      </c>
      <c r="E42" s="13" t="s">
        <v>514</v>
      </c>
      <c r="F42" s="13" t="s">
        <v>35</v>
      </c>
      <c r="G42" s="3" t="s">
        <v>401</v>
      </c>
      <c r="H42" s="3"/>
      <c r="I42" s="3"/>
      <c r="J42" s="4"/>
      <c r="K42" s="4"/>
      <c r="L42" s="11"/>
      <c r="M42" s="4"/>
      <c r="N42" s="3"/>
      <c r="O42" s="3"/>
      <c r="P42" s="3"/>
      <c r="Q42" s="3"/>
      <c r="R42" s="3"/>
      <c r="S42" s="19"/>
      <c r="T42" s="19"/>
      <c r="U42" s="2">
        <f>DATEDIF(Table1[[#This Row],[Start Date*]],Table1[[#This Row],[End Date*]],"d")</f>
        <v>0</v>
      </c>
      <c r="V42" s="18">
        <f>SUM(Table1[[#This Row],[DB]:[EH]])</f>
        <v>0</v>
      </c>
      <c r="W42" s="3"/>
      <c r="X42" s="3"/>
      <c r="Y42" s="3"/>
      <c r="Z42" s="3"/>
      <c r="AC42" s="3"/>
      <c r="AD42" s="8"/>
      <c r="AE42" s="8"/>
      <c r="AF42" s="3"/>
      <c r="AG42" s="3"/>
      <c r="AH42" s="3"/>
      <c r="AI42" s="3"/>
      <c r="AJ42" s="3"/>
      <c r="AK42" s="17">
        <f>SUBTOTAL(9,Table1[[#This Row],[Online Learning]:[Other]])</f>
        <v>0</v>
      </c>
      <c r="AL42" s="17"/>
      <c r="AM42" s="24"/>
      <c r="AN42" s="24"/>
      <c r="AO42" s="24"/>
      <c r="AP42" s="24"/>
      <c r="AQ42" s="24"/>
      <c r="AR42" s="24"/>
      <c r="AS42" s="46"/>
      <c r="AT42" s="47"/>
      <c r="AU42" s="14">
        <f>SUM(Table1[[#This Row],[*Learning Model (Daniel)]:[Other2]])</f>
        <v>0</v>
      </c>
      <c r="AV42" s="3"/>
      <c r="AW42" s="3"/>
      <c r="AX42" s="3"/>
    </row>
    <row r="43" spans="1:50" x14ac:dyDescent="0.25">
      <c r="A43" s="21" t="s">
        <v>397</v>
      </c>
      <c r="B43" s="8" t="s">
        <v>5</v>
      </c>
      <c r="C43" s="13" t="s">
        <v>396</v>
      </c>
      <c r="D43" s="13" t="s">
        <v>513</v>
      </c>
      <c r="E43" s="13" t="s">
        <v>514</v>
      </c>
      <c r="F43" s="13"/>
      <c r="G43" s="3" t="s">
        <v>398</v>
      </c>
      <c r="H43" s="3"/>
      <c r="I43" s="3"/>
      <c r="J43" s="4"/>
      <c r="K43" s="4"/>
      <c r="L43" s="11"/>
      <c r="M43" s="4"/>
      <c r="N43" s="3"/>
      <c r="O43" s="3"/>
      <c r="P43" s="3"/>
      <c r="Q43" s="3"/>
      <c r="R43" s="3"/>
      <c r="S43" s="19"/>
      <c r="T43" s="19"/>
      <c r="U43" s="2">
        <f>DATEDIF(Table1[[#This Row],[Start Date*]],Table1[[#This Row],[End Date*]],"d")</f>
        <v>0</v>
      </c>
      <c r="V43" s="18">
        <f>SUM(Table1[[#This Row],[DB]:[EH]])</f>
        <v>0</v>
      </c>
      <c r="W43" s="3"/>
      <c r="X43" s="3"/>
      <c r="Y43" s="3"/>
      <c r="Z43" s="3"/>
      <c r="AC43" s="3"/>
      <c r="AD43" s="8"/>
      <c r="AE43" s="8"/>
      <c r="AF43" s="3"/>
      <c r="AG43" s="3"/>
      <c r="AH43" s="3"/>
      <c r="AI43" s="3"/>
      <c r="AJ43" s="3"/>
      <c r="AK43" s="17">
        <f>SUBTOTAL(9,Table1[[#This Row],[Online Learning]:[Other]])</f>
        <v>0</v>
      </c>
      <c r="AL43" s="17"/>
      <c r="AM43" s="24"/>
      <c r="AN43" s="24"/>
      <c r="AO43" s="24"/>
      <c r="AP43" s="24"/>
      <c r="AQ43" s="24"/>
      <c r="AR43" s="24"/>
      <c r="AS43" s="46"/>
      <c r="AT43" s="47"/>
      <c r="AU43" s="14">
        <f>SUM(Table1[[#This Row],[*Learning Model (Daniel)]:[Other2]])</f>
        <v>0</v>
      </c>
      <c r="AV43" s="3"/>
      <c r="AW43" s="3"/>
      <c r="AX43" s="3"/>
    </row>
    <row r="44" spans="1:50" x14ac:dyDescent="0.25">
      <c r="A44" s="21" t="s">
        <v>394</v>
      </c>
      <c r="B44" s="8" t="s">
        <v>5</v>
      </c>
      <c r="C44" s="48" t="s">
        <v>393</v>
      </c>
      <c r="D44" s="13" t="s">
        <v>513</v>
      </c>
      <c r="E44" s="13" t="s">
        <v>514</v>
      </c>
      <c r="F44" s="13"/>
      <c r="G44" s="3" t="s">
        <v>395</v>
      </c>
      <c r="H44" s="3"/>
      <c r="I44" s="3"/>
      <c r="J44" s="4"/>
      <c r="K44" s="4"/>
      <c r="L44" s="11"/>
      <c r="M44" s="4"/>
      <c r="N44" s="3"/>
      <c r="O44" s="3"/>
      <c r="P44" s="3"/>
      <c r="Q44" s="3"/>
      <c r="R44" s="3"/>
      <c r="S44" s="19"/>
      <c r="T44" s="19"/>
      <c r="U44" s="2">
        <f>DATEDIF(Table1[[#This Row],[Start Date*]],Table1[[#This Row],[End Date*]],"d")</f>
        <v>0</v>
      </c>
      <c r="V44" s="18">
        <f>SUM(Table1[[#This Row],[DB]:[EH]])</f>
        <v>0</v>
      </c>
      <c r="W44" s="3"/>
      <c r="X44" s="3"/>
      <c r="Y44" s="3"/>
      <c r="Z44" s="3"/>
      <c r="AC44" s="3"/>
      <c r="AD44" s="8"/>
      <c r="AE44" s="8"/>
      <c r="AF44" s="3"/>
      <c r="AG44" s="3"/>
      <c r="AH44" s="3"/>
      <c r="AI44" s="3"/>
      <c r="AJ44" s="3"/>
      <c r="AK44" s="17">
        <f>SUBTOTAL(9,Table1[[#This Row],[Online Learning]:[Other]])</f>
        <v>0</v>
      </c>
      <c r="AL44" s="17"/>
      <c r="AM44" s="24"/>
      <c r="AN44" s="24"/>
      <c r="AO44" s="24"/>
      <c r="AP44" s="24"/>
      <c r="AQ44" s="24"/>
      <c r="AR44" s="24"/>
      <c r="AS44" s="46"/>
      <c r="AT44" s="47"/>
      <c r="AU44" s="14">
        <f>SUM(Table1[[#This Row],[*Learning Model (Daniel)]:[Other2]])</f>
        <v>0</v>
      </c>
      <c r="AV44" s="3"/>
      <c r="AW44" s="3"/>
      <c r="AX44" s="3"/>
    </row>
    <row r="45" spans="1:50" x14ac:dyDescent="0.25">
      <c r="A45" s="21" t="s">
        <v>385</v>
      </c>
      <c r="B45" s="8" t="s">
        <v>5</v>
      </c>
      <c r="C45" s="13" t="s">
        <v>384</v>
      </c>
      <c r="D45" s="13" t="s">
        <v>387</v>
      </c>
      <c r="E45" s="13" t="s">
        <v>392</v>
      </c>
      <c r="F45" s="13"/>
      <c r="G45" s="3" t="s">
        <v>386</v>
      </c>
      <c r="H45" s="3"/>
      <c r="I45" s="3"/>
      <c r="J45" s="4"/>
      <c r="K45" s="4"/>
      <c r="L45" s="11"/>
      <c r="M45" s="4"/>
      <c r="N45" s="3"/>
      <c r="O45" s="3"/>
      <c r="P45" s="3"/>
      <c r="Q45" s="3"/>
      <c r="R45" s="3"/>
      <c r="S45" s="19"/>
      <c r="T45" s="19"/>
      <c r="U45" s="2">
        <f>DATEDIF(Table1[[#This Row],[Start Date*]],Table1[[#This Row],[End Date*]],"d")</f>
        <v>0</v>
      </c>
      <c r="V45" s="18">
        <f>SUM(Table1[[#This Row],[DB]:[EH]])</f>
        <v>0</v>
      </c>
      <c r="W45" s="3"/>
      <c r="X45" s="3"/>
      <c r="Y45" s="3"/>
      <c r="Z45" s="3"/>
      <c r="AC45" s="3"/>
      <c r="AD45" s="8"/>
      <c r="AE45" s="8"/>
      <c r="AF45" s="3"/>
      <c r="AG45" s="3"/>
      <c r="AH45" s="3"/>
      <c r="AI45" s="3"/>
      <c r="AJ45" s="3"/>
      <c r="AK45" s="17">
        <f>SUBTOTAL(9,Table1[[#This Row],[Online Learning]:[Other]])</f>
        <v>0</v>
      </c>
      <c r="AL45" s="17"/>
      <c r="AM45" s="24"/>
      <c r="AN45" s="24"/>
      <c r="AO45" s="24"/>
      <c r="AP45" s="24"/>
      <c r="AQ45" s="24"/>
      <c r="AR45" s="24"/>
      <c r="AS45" s="46"/>
      <c r="AT45" s="47"/>
      <c r="AU45" s="14">
        <f>SUM(Table1[[#This Row],[*Learning Model (Daniel)]:[Other2]])</f>
        <v>0</v>
      </c>
      <c r="AV45" s="3"/>
      <c r="AW45" s="3"/>
      <c r="AX45" s="3"/>
    </row>
    <row r="46" spans="1:50" x14ac:dyDescent="0.25">
      <c r="A46" s="21" t="s">
        <v>382</v>
      </c>
      <c r="B46" s="8" t="s">
        <v>5</v>
      </c>
      <c r="C46" s="13" t="s">
        <v>381</v>
      </c>
      <c r="D46" s="13" t="s">
        <v>387</v>
      </c>
      <c r="E46" s="13" t="s">
        <v>392</v>
      </c>
      <c r="F46" s="13" t="s">
        <v>553</v>
      </c>
      <c r="G46" s="3" t="s">
        <v>383</v>
      </c>
      <c r="H46" s="3"/>
      <c r="I46" s="3"/>
      <c r="J46" s="4"/>
      <c r="K46" s="4"/>
      <c r="L46" s="11"/>
      <c r="M46" s="4"/>
      <c r="N46" s="3"/>
      <c r="O46" s="3"/>
      <c r="P46" s="3"/>
      <c r="Q46" s="3"/>
      <c r="R46" s="3"/>
      <c r="S46" s="19"/>
      <c r="T46" s="19"/>
      <c r="U46" s="2">
        <f>DATEDIF(Table1[[#This Row],[Start Date*]],Table1[[#This Row],[End Date*]],"d")</f>
        <v>0</v>
      </c>
      <c r="V46" s="18">
        <f>SUM(Table1[[#This Row],[DB]:[EH]])</f>
        <v>0</v>
      </c>
      <c r="W46" s="3"/>
      <c r="X46" s="3"/>
      <c r="Y46" s="3"/>
      <c r="Z46" s="3"/>
      <c r="AC46" s="3"/>
      <c r="AD46" s="8"/>
      <c r="AE46" s="8"/>
      <c r="AF46" s="3"/>
      <c r="AG46" s="3"/>
      <c r="AH46" s="3"/>
      <c r="AI46" s="3"/>
      <c r="AJ46" s="3"/>
      <c r="AK46" s="17">
        <f>SUBTOTAL(9,Table1[[#This Row],[Online Learning]:[Other]])</f>
        <v>0</v>
      </c>
      <c r="AL46" s="17"/>
      <c r="AM46" s="24"/>
      <c r="AN46" s="24"/>
      <c r="AO46" s="24"/>
      <c r="AP46" s="24"/>
      <c r="AQ46" s="24"/>
      <c r="AR46" s="24"/>
      <c r="AS46" s="46"/>
      <c r="AT46" s="47"/>
      <c r="AU46" s="14">
        <f>SUM(Table1[[#This Row],[*Learning Model (Daniel)]:[Other2]])</f>
        <v>0</v>
      </c>
      <c r="AV46" s="3"/>
      <c r="AW46" s="3"/>
      <c r="AX46" s="3"/>
    </row>
    <row r="47" spans="1:50" x14ac:dyDescent="0.25">
      <c r="A47" s="21" t="s">
        <v>379</v>
      </c>
      <c r="B47" s="8" t="s">
        <v>5</v>
      </c>
      <c r="C47" s="13" t="s">
        <v>378</v>
      </c>
      <c r="D47" s="13" t="s">
        <v>387</v>
      </c>
      <c r="E47" s="13" t="s">
        <v>392</v>
      </c>
      <c r="F47" s="13" t="s">
        <v>553</v>
      </c>
      <c r="G47" s="3" t="s">
        <v>380</v>
      </c>
      <c r="H47" s="3"/>
      <c r="I47" s="3"/>
      <c r="J47" s="4"/>
      <c r="K47" s="4"/>
      <c r="L47" s="11"/>
      <c r="M47" s="4"/>
      <c r="N47" s="3"/>
      <c r="O47" s="3"/>
      <c r="P47" s="3"/>
      <c r="Q47" s="3"/>
      <c r="R47" s="3"/>
      <c r="S47" s="19"/>
      <c r="T47" s="19"/>
      <c r="U47" s="2">
        <f>DATEDIF(Table1[[#This Row],[Start Date*]],Table1[[#This Row],[End Date*]],"d")</f>
        <v>0</v>
      </c>
      <c r="V47" s="18">
        <f>SUM(Table1[[#This Row],[DB]:[EH]])</f>
        <v>0</v>
      </c>
      <c r="W47" s="3"/>
      <c r="X47" s="3"/>
      <c r="Y47" s="3"/>
      <c r="Z47" s="3"/>
      <c r="AC47" s="3"/>
      <c r="AD47" s="8"/>
      <c r="AE47" s="8"/>
      <c r="AF47" s="3"/>
      <c r="AG47" s="3"/>
      <c r="AH47" s="3"/>
      <c r="AI47" s="3"/>
      <c r="AJ47" s="3"/>
      <c r="AK47" s="17">
        <f>SUBTOTAL(9,Table1[[#This Row],[Online Learning]:[Other]])</f>
        <v>0</v>
      </c>
      <c r="AL47" s="17"/>
      <c r="AM47" s="24"/>
      <c r="AN47" s="24"/>
      <c r="AO47" s="24"/>
      <c r="AP47" s="24"/>
      <c r="AQ47" s="24"/>
      <c r="AR47" s="24"/>
      <c r="AS47" s="46"/>
      <c r="AT47" s="47"/>
      <c r="AU47" s="14">
        <f>SUM(Table1[[#This Row],[*Learning Model (Daniel)]:[Other2]])</f>
        <v>0</v>
      </c>
      <c r="AV47" s="3"/>
      <c r="AW47" s="3"/>
      <c r="AX47" s="3"/>
    </row>
    <row r="48" spans="1:50" x14ac:dyDescent="0.25">
      <c r="A48" s="21" t="s">
        <v>376</v>
      </c>
      <c r="B48" s="8" t="s">
        <v>5</v>
      </c>
      <c r="C48" s="13" t="s">
        <v>375</v>
      </c>
      <c r="D48" s="13" t="s">
        <v>387</v>
      </c>
      <c r="E48" s="13" t="s">
        <v>392</v>
      </c>
      <c r="F48" s="13" t="s">
        <v>553</v>
      </c>
      <c r="G48" s="3" t="s">
        <v>377</v>
      </c>
      <c r="H48" s="3"/>
      <c r="I48" s="3"/>
      <c r="J48" s="4"/>
      <c r="K48" s="4"/>
      <c r="L48" s="11"/>
      <c r="M48" s="4"/>
      <c r="N48" s="3"/>
      <c r="O48" s="3"/>
      <c r="P48" s="3"/>
      <c r="Q48" s="3"/>
      <c r="R48" s="3"/>
      <c r="S48" s="19"/>
      <c r="T48" s="19"/>
      <c r="U48" s="2">
        <f>DATEDIF(Table1[[#This Row],[Start Date*]],Table1[[#This Row],[End Date*]],"d")</f>
        <v>0</v>
      </c>
      <c r="V48" s="18">
        <f>SUM(Table1[[#This Row],[DB]:[EH]])</f>
        <v>0</v>
      </c>
      <c r="W48" s="3"/>
      <c r="X48" s="3"/>
      <c r="Y48" s="3"/>
      <c r="Z48" s="3"/>
      <c r="AC48" s="3"/>
      <c r="AD48" s="8"/>
      <c r="AE48" s="8"/>
      <c r="AF48" s="3"/>
      <c r="AG48" s="3"/>
      <c r="AH48" s="3"/>
      <c r="AI48" s="3"/>
      <c r="AJ48" s="3"/>
      <c r="AK48" s="17">
        <f>SUBTOTAL(9,Table1[[#This Row],[Online Learning]:[Other]])</f>
        <v>0</v>
      </c>
      <c r="AL48" s="17"/>
      <c r="AM48" s="24"/>
      <c r="AN48" s="24"/>
      <c r="AO48" s="24"/>
      <c r="AP48" s="24"/>
      <c r="AQ48" s="24"/>
      <c r="AR48" s="24"/>
      <c r="AS48" s="46"/>
      <c r="AT48" s="47"/>
      <c r="AU48" s="14">
        <f>SUM(Table1[[#This Row],[*Learning Model (Daniel)]:[Other2]])</f>
        <v>0</v>
      </c>
      <c r="AV48" s="3"/>
      <c r="AW48" s="3"/>
      <c r="AX48" s="3"/>
    </row>
    <row r="49" spans="1:50" x14ac:dyDescent="0.25">
      <c r="A49" s="21" t="s">
        <v>373</v>
      </c>
      <c r="B49" s="8" t="s">
        <v>5</v>
      </c>
      <c r="C49" s="13" t="s">
        <v>372</v>
      </c>
      <c r="D49" s="13" t="s">
        <v>387</v>
      </c>
      <c r="E49" s="13" t="s">
        <v>392</v>
      </c>
      <c r="F49" s="13" t="s">
        <v>552</v>
      </c>
      <c r="G49" s="3" t="s">
        <v>374</v>
      </c>
      <c r="H49" s="3"/>
      <c r="I49" s="3"/>
      <c r="J49" s="4"/>
      <c r="K49" s="4"/>
      <c r="L49" s="11"/>
      <c r="M49" s="4"/>
      <c r="N49" s="3"/>
      <c r="O49" s="3"/>
      <c r="P49" s="3"/>
      <c r="Q49" s="3"/>
      <c r="R49" s="3"/>
      <c r="S49" s="19"/>
      <c r="T49" s="19"/>
      <c r="U49" s="2">
        <f>DATEDIF(Table1[[#This Row],[Start Date*]],Table1[[#This Row],[End Date*]],"d")</f>
        <v>0</v>
      </c>
      <c r="V49" s="18">
        <f>SUM(Table1[[#This Row],[DB]:[EH]])</f>
        <v>0</v>
      </c>
      <c r="W49" s="3"/>
      <c r="X49" s="3"/>
      <c r="Y49" s="3"/>
      <c r="Z49" s="3"/>
      <c r="AC49" s="3"/>
      <c r="AD49" s="8"/>
      <c r="AE49" s="8"/>
      <c r="AF49" s="3"/>
      <c r="AG49" s="3"/>
      <c r="AH49" s="3"/>
      <c r="AI49" s="3"/>
      <c r="AJ49" s="3"/>
      <c r="AK49" s="17">
        <f>SUBTOTAL(9,Table1[[#This Row],[Online Learning]:[Other]])</f>
        <v>0</v>
      </c>
      <c r="AL49" s="17"/>
      <c r="AM49" s="24"/>
      <c r="AN49" s="24"/>
      <c r="AO49" s="24"/>
      <c r="AP49" s="24"/>
      <c r="AQ49" s="24"/>
      <c r="AR49" s="24"/>
      <c r="AS49" s="46"/>
      <c r="AT49" s="47"/>
      <c r="AU49" s="14">
        <f>SUM(Table1[[#This Row],[*Learning Model (Daniel)]:[Other2]])</f>
        <v>0</v>
      </c>
      <c r="AV49" s="3"/>
      <c r="AW49" s="3"/>
      <c r="AX49" s="3"/>
    </row>
    <row r="50" spans="1:50" x14ac:dyDescent="0.25">
      <c r="A50" s="21" t="s">
        <v>370</v>
      </c>
      <c r="B50" s="8" t="s">
        <v>5</v>
      </c>
      <c r="C50" s="13" t="s">
        <v>369</v>
      </c>
      <c r="D50" s="13" t="s">
        <v>387</v>
      </c>
      <c r="E50" s="13" t="s">
        <v>391</v>
      </c>
      <c r="F50" s="13" t="s">
        <v>562</v>
      </c>
      <c r="G50" s="3" t="s">
        <v>371</v>
      </c>
      <c r="H50" s="3"/>
      <c r="I50" s="3"/>
      <c r="J50" s="4"/>
      <c r="K50" s="4"/>
      <c r="L50" s="11"/>
      <c r="M50" s="4"/>
      <c r="N50" s="3"/>
      <c r="O50" s="3"/>
      <c r="P50" s="3"/>
      <c r="Q50" s="3"/>
      <c r="R50" s="3"/>
      <c r="S50" s="19"/>
      <c r="T50" s="19"/>
      <c r="U50" s="2">
        <f>DATEDIF(Table1[[#This Row],[Start Date*]],Table1[[#This Row],[End Date*]],"d")</f>
        <v>0</v>
      </c>
      <c r="V50" s="18">
        <f>SUM(Table1[[#This Row],[DB]:[EH]])</f>
        <v>0</v>
      </c>
      <c r="W50" s="3"/>
      <c r="X50" s="3"/>
      <c r="Y50" s="3"/>
      <c r="Z50" s="3"/>
      <c r="AC50" s="3"/>
      <c r="AD50" s="8"/>
      <c r="AE50" s="8"/>
      <c r="AF50" s="3"/>
      <c r="AG50" s="3"/>
      <c r="AH50" s="3"/>
      <c r="AI50" s="3"/>
      <c r="AJ50" s="3"/>
      <c r="AK50" s="17">
        <f>SUBTOTAL(9,Table1[[#This Row],[Online Learning]:[Other]])</f>
        <v>0</v>
      </c>
      <c r="AL50" s="17"/>
      <c r="AM50" s="24"/>
      <c r="AN50" s="24"/>
      <c r="AO50" s="24"/>
      <c r="AP50" s="24"/>
      <c r="AQ50" s="24"/>
      <c r="AR50" s="24"/>
      <c r="AS50" s="46"/>
      <c r="AT50" s="47"/>
      <c r="AU50" s="14">
        <f>SUM(Table1[[#This Row],[*Learning Model (Daniel)]:[Other2]])</f>
        <v>0</v>
      </c>
      <c r="AV50" s="3"/>
      <c r="AW50" s="3"/>
      <c r="AX50" s="3"/>
    </row>
    <row r="51" spans="1:50" x14ac:dyDescent="0.25">
      <c r="A51" s="21" t="s">
        <v>367</v>
      </c>
      <c r="B51" s="8" t="s">
        <v>5</v>
      </c>
      <c r="C51" s="13" t="s">
        <v>366</v>
      </c>
      <c r="D51" s="13" t="s">
        <v>387</v>
      </c>
      <c r="E51" s="13" t="s">
        <v>391</v>
      </c>
      <c r="F51" s="13" t="s">
        <v>565</v>
      </c>
      <c r="G51" s="3" t="s">
        <v>368</v>
      </c>
      <c r="H51" s="3"/>
      <c r="I51" s="3"/>
      <c r="J51" s="4"/>
      <c r="K51" s="4"/>
      <c r="L51" s="11"/>
      <c r="M51" s="4"/>
      <c r="N51" s="3"/>
      <c r="O51" s="3"/>
      <c r="P51" s="3"/>
      <c r="Q51" s="3"/>
      <c r="R51" s="3"/>
      <c r="S51" s="19"/>
      <c r="T51" s="19"/>
      <c r="U51" s="2">
        <f>DATEDIF(Table1[[#This Row],[Start Date*]],Table1[[#This Row],[End Date*]],"d")</f>
        <v>0</v>
      </c>
      <c r="V51" s="18">
        <f>SUM(Table1[[#This Row],[DB]:[EH]])</f>
        <v>0</v>
      </c>
      <c r="W51" s="3"/>
      <c r="X51" s="3"/>
      <c r="Y51" s="3"/>
      <c r="Z51" s="3"/>
      <c r="AC51" s="3"/>
      <c r="AD51" s="8"/>
      <c r="AE51" s="8"/>
      <c r="AF51" s="3"/>
      <c r="AG51" s="3"/>
      <c r="AH51" s="3"/>
      <c r="AI51" s="3"/>
      <c r="AJ51" s="3"/>
      <c r="AK51" s="17">
        <f>SUBTOTAL(9,Table1[[#This Row],[Online Learning]:[Other]])</f>
        <v>0</v>
      </c>
      <c r="AL51" s="17"/>
      <c r="AM51" s="24"/>
      <c r="AN51" s="24"/>
      <c r="AO51" s="24"/>
      <c r="AP51" s="24"/>
      <c r="AQ51" s="24"/>
      <c r="AR51" s="24"/>
      <c r="AS51" s="46"/>
      <c r="AT51" s="47"/>
      <c r="AU51" s="14">
        <f>SUM(Table1[[#This Row],[*Learning Model (Daniel)]:[Other2]])</f>
        <v>0</v>
      </c>
      <c r="AV51" s="3"/>
      <c r="AW51" s="3"/>
      <c r="AX51" s="3"/>
    </row>
    <row r="52" spans="1:50" x14ac:dyDescent="0.25">
      <c r="A52" s="21" t="s">
        <v>364</v>
      </c>
      <c r="B52" s="8" t="s">
        <v>5</v>
      </c>
      <c r="C52" s="13" t="s">
        <v>363</v>
      </c>
      <c r="D52" s="13" t="s">
        <v>387</v>
      </c>
      <c r="E52" s="13" t="s">
        <v>391</v>
      </c>
      <c r="F52" s="13" t="s">
        <v>565</v>
      </c>
      <c r="G52" s="3" t="s">
        <v>365</v>
      </c>
      <c r="H52" s="3"/>
      <c r="I52" s="3"/>
      <c r="J52" s="4"/>
      <c r="K52" s="4"/>
      <c r="L52" s="11"/>
      <c r="M52" s="4"/>
      <c r="N52" s="3"/>
      <c r="O52" s="3"/>
      <c r="P52" s="3"/>
      <c r="Q52" s="3"/>
      <c r="R52" s="3"/>
      <c r="S52" s="19"/>
      <c r="T52" s="19"/>
      <c r="U52" s="2">
        <f>DATEDIF(Table1[[#This Row],[Start Date*]],Table1[[#This Row],[End Date*]],"d")</f>
        <v>0</v>
      </c>
      <c r="V52" s="18">
        <f>SUM(Table1[[#This Row],[DB]:[EH]])</f>
        <v>0</v>
      </c>
      <c r="W52" s="3"/>
      <c r="X52" s="3"/>
      <c r="Y52" s="3"/>
      <c r="Z52" s="3"/>
      <c r="AC52" s="3"/>
      <c r="AD52" s="8"/>
      <c r="AE52" s="8"/>
      <c r="AF52" s="3"/>
      <c r="AG52" s="3"/>
      <c r="AH52" s="3"/>
      <c r="AI52" s="3"/>
      <c r="AJ52" s="3"/>
      <c r="AK52" s="17">
        <f>SUBTOTAL(9,Table1[[#This Row],[Online Learning]:[Other]])</f>
        <v>0</v>
      </c>
      <c r="AL52" s="17"/>
      <c r="AM52" s="24"/>
      <c r="AN52" s="24"/>
      <c r="AO52" s="24"/>
      <c r="AP52" s="24"/>
      <c r="AQ52" s="24"/>
      <c r="AR52" s="24"/>
      <c r="AS52" s="46"/>
      <c r="AT52" s="47"/>
      <c r="AU52" s="14">
        <f>SUM(Table1[[#This Row],[*Learning Model (Daniel)]:[Other2]])</f>
        <v>0</v>
      </c>
      <c r="AV52" s="3"/>
      <c r="AW52" s="3"/>
      <c r="AX52" s="3"/>
    </row>
    <row r="53" spans="1:50" x14ac:dyDescent="0.25">
      <c r="A53" s="21" t="s">
        <v>361</v>
      </c>
      <c r="B53" s="8" t="s">
        <v>5</v>
      </c>
      <c r="C53" s="13" t="s">
        <v>360</v>
      </c>
      <c r="D53" s="13" t="s">
        <v>387</v>
      </c>
      <c r="E53" s="13" t="s">
        <v>390</v>
      </c>
      <c r="F53" s="13" t="s">
        <v>560</v>
      </c>
      <c r="G53" s="3" t="s">
        <v>362</v>
      </c>
      <c r="H53" s="3"/>
      <c r="I53" s="3"/>
      <c r="J53" s="4"/>
      <c r="K53" s="4"/>
      <c r="L53" s="11"/>
      <c r="M53" s="4"/>
      <c r="N53" s="3"/>
      <c r="O53" s="3"/>
      <c r="P53" s="3"/>
      <c r="Q53" s="3"/>
      <c r="R53" s="3"/>
      <c r="S53" s="19"/>
      <c r="T53" s="19"/>
      <c r="U53" s="2">
        <f>DATEDIF(Table1[[#This Row],[Start Date*]],Table1[[#This Row],[End Date*]],"d")</f>
        <v>0</v>
      </c>
      <c r="V53" s="18">
        <f>SUM(Table1[[#This Row],[DB]:[EH]])</f>
        <v>0</v>
      </c>
      <c r="W53" s="3"/>
      <c r="X53" s="3"/>
      <c r="Y53" s="3"/>
      <c r="Z53" s="3"/>
      <c r="AC53" s="3"/>
      <c r="AD53" s="8"/>
      <c r="AE53" s="8"/>
      <c r="AF53" s="3"/>
      <c r="AG53" s="3"/>
      <c r="AH53" s="3"/>
      <c r="AI53" s="3"/>
      <c r="AJ53" s="3"/>
      <c r="AK53" s="17">
        <f>SUBTOTAL(9,Table1[[#This Row],[Online Learning]:[Other]])</f>
        <v>0</v>
      </c>
      <c r="AL53" s="17"/>
      <c r="AM53" s="24"/>
      <c r="AN53" s="24"/>
      <c r="AO53" s="24"/>
      <c r="AP53" s="24"/>
      <c r="AQ53" s="24"/>
      <c r="AR53" s="24"/>
      <c r="AS53" s="46"/>
      <c r="AT53" s="47"/>
      <c r="AU53" s="14">
        <f>SUM(Table1[[#This Row],[*Learning Model (Daniel)]:[Other2]])</f>
        <v>0</v>
      </c>
      <c r="AV53" s="3"/>
      <c r="AW53" s="3"/>
      <c r="AX53" s="3"/>
    </row>
    <row r="54" spans="1:50" x14ac:dyDescent="0.25">
      <c r="A54" s="21" t="s">
        <v>358</v>
      </c>
      <c r="B54" s="8" t="s">
        <v>5</v>
      </c>
      <c r="C54" s="13" t="s">
        <v>357</v>
      </c>
      <c r="D54" s="13" t="s">
        <v>387</v>
      </c>
      <c r="E54" s="13" t="s">
        <v>390</v>
      </c>
      <c r="F54" s="13" t="s">
        <v>560</v>
      </c>
      <c r="G54" s="3" t="s">
        <v>359</v>
      </c>
      <c r="H54" s="3"/>
      <c r="I54" s="3"/>
      <c r="J54" s="4"/>
      <c r="K54" s="4"/>
      <c r="L54" s="11"/>
      <c r="M54" s="4"/>
      <c r="N54" s="3"/>
      <c r="O54" s="3"/>
      <c r="P54" s="3"/>
      <c r="Q54" s="3"/>
      <c r="R54" s="3"/>
      <c r="S54" s="19"/>
      <c r="T54" s="19"/>
      <c r="U54" s="2">
        <f>DATEDIF(Table1[[#This Row],[Start Date*]],Table1[[#This Row],[End Date*]],"d")</f>
        <v>0</v>
      </c>
      <c r="V54" s="18">
        <f>SUM(Table1[[#This Row],[DB]:[EH]])</f>
        <v>0</v>
      </c>
      <c r="W54" s="3"/>
      <c r="X54" s="3"/>
      <c r="Y54" s="3"/>
      <c r="Z54" s="3"/>
      <c r="AC54" s="3"/>
      <c r="AD54" s="8"/>
      <c r="AE54" s="8"/>
      <c r="AF54" s="3"/>
      <c r="AG54" s="3"/>
      <c r="AH54" s="3"/>
      <c r="AI54" s="3"/>
      <c r="AJ54" s="3"/>
      <c r="AK54" s="17">
        <f>SUBTOTAL(9,Table1[[#This Row],[Online Learning]:[Other]])</f>
        <v>0</v>
      </c>
      <c r="AL54" s="17"/>
      <c r="AM54" s="24"/>
      <c r="AN54" s="24"/>
      <c r="AO54" s="24"/>
      <c r="AP54" s="24"/>
      <c r="AQ54" s="24"/>
      <c r="AR54" s="24"/>
      <c r="AS54" s="46"/>
      <c r="AT54" s="47"/>
      <c r="AU54" s="14">
        <f>SUM(Table1[[#This Row],[*Learning Model (Daniel)]:[Other2]])</f>
        <v>0</v>
      </c>
      <c r="AV54" s="3"/>
      <c r="AW54" s="3"/>
      <c r="AX54" s="3"/>
    </row>
    <row r="55" spans="1:50" x14ac:dyDescent="0.25">
      <c r="A55" s="21" t="s">
        <v>355</v>
      </c>
      <c r="B55" s="8" t="s">
        <v>5</v>
      </c>
      <c r="C55" s="13" t="s">
        <v>354</v>
      </c>
      <c r="D55" s="13" t="s">
        <v>387</v>
      </c>
      <c r="E55" s="13" t="s">
        <v>390</v>
      </c>
      <c r="F55" s="13" t="s">
        <v>560</v>
      </c>
      <c r="G55" s="3" t="s">
        <v>356</v>
      </c>
      <c r="H55" s="3"/>
      <c r="I55" s="3"/>
      <c r="J55" s="4"/>
      <c r="K55" s="4"/>
      <c r="L55" s="11"/>
      <c r="M55" s="4"/>
      <c r="N55" s="3"/>
      <c r="O55" s="3"/>
      <c r="P55" s="3"/>
      <c r="Q55" s="3"/>
      <c r="R55" s="3"/>
      <c r="S55" s="19"/>
      <c r="T55" s="19"/>
      <c r="U55" s="2">
        <f>DATEDIF(Table1[[#This Row],[Start Date*]],Table1[[#This Row],[End Date*]],"d")</f>
        <v>0</v>
      </c>
      <c r="V55" s="18">
        <f>SUM(Table1[[#This Row],[DB]:[EH]])</f>
        <v>0</v>
      </c>
      <c r="W55" s="3"/>
      <c r="X55" s="3"/>
      <c r="Y55" s="3"/>
      <c r="Z55" s="3"/>
      <c r="AC55" s="3"/>
      <c r="AD55" s="8"/>
      <c r="AE55" s="8"/>
      <c r="AF55" s="3"/>
      <c r="AG55" s="3"/>
      <c r="AH55" s="3"/>
      <c r="AI55" s="3"/>
      <c r="AJ55" s="3"/>
      <c r="AK55" s="17">
        <f>SUBTOTAL(9,Table1[[#This Row],[Online Learning]:[Other]])</f>
        <v>0</v>
      </c>
      <c r="AL55" s="17"/>
      <c r="AM55" s="24"/>
      <c r="AN55" s="24"/>
      <c r="AO55" s="24"/>
      <c r="AP55" s="24"/>
      <c r="AQ55" s="24"/>
      <c r="AR55" s="24"/>
      <c r="AS55" s="46"/>
      <c r="AT55" s="47"/>
      <c r="AU55" s="14">
        <f>SUM(Table1[[#This Row],[*Learning Model (Daniel)]:[Other2]])</f>
        <v>0</v>
      </c>
      <c r="AV55" s="3"/>
      <c r="AW55" s="3"/>
      <c r="AX55" s="3"/>
    </row>
    <row r="56" spans="1:50" x14ac:dyDescent="0.25">
      <c r="A56" s="21" t="s">
        <v>352</v>
      </c>
      <c r="B56" s="8" t="s">
        <v>5</v>
      </c>
      <c r="C56" s="13" t="s">
        <v>351</v>
      </c>
      <c r="D56" s="13" t="s">
        <v>387</v>
      </c>
      <c r="E56" s="13" t="s">
        <v>390</v>
      </c>
      <c r="F56" s="13" t="s">
        <v>560</v>
      </c>
      <c r="G56" s="3" t="s">
        <v>353</v>
      </c>
      <c r="H56" s="3"/>
      <c r="I56" s="3"/>
      <c r="J56" s="4"/>
      <c r="K56" s="4"/>
      <c r="L56" s="11"/>
      <c r="M56" s="4"/>
      <c r="N56" s="3"/>
      <c r="O56" s="3"/>
      <c r="P56" s="3"/>
      <c r="Q56" s="3"/>
      <c r="R56" s="3"/>
      <c r="S56" s="19"/>
      <c r="T56" s="19"/>
      <c r="U56" s="2">
        <f>DATEDIF(Table1[[#This Row],[Start Date*]],Table1[[#This Row],[End Date*]],"d")</f>
        <v>0</v>
      </c>
      <c r="V56" s="18">
        <f>SUM(Table1[[#This Row],[DB]:[EH]])</f>
        <v>0</v>
      </c>
      <c r="W56" s="3"/>
      <c r="X56" s="3"/>
      <c r="Y56" s="3"/>
      <c r="Z56" s="3"/>
      <c r="AC56" s="3"/>
      <c r="AD56" s="8"/>
      <c r="AE56" s="8"/>
      <c r="AF56" s="3"/>
      <c r="AG56" s="3"/>
      <c r="AH56" s="3"/>
      <c r="AI56" s="3"/>
      <c r="AJ56" s="3"/>
      <c r="AK56" s="17">
        <f>SUBTOTAL(9,Table1[[#This Row],[Online Learning]:[Other]])</f>
        <v>0</v>
      </c>
      <c r="AL56" s="17"/>
      <c r="AM56" s="24"/>
      <c r="AN56" s="24"/>
      <c r="AO56" s="24"/>
      <c r="AP56" s="24"/>
      <c r="AQ56" s="24"/>
      <c r="AR56" s="24"/>
      <c r="AS56" s="46"/>
      <c r="AT56" s="47"/>
      <c r="AU56" s="14">
        <f>SUM(Table1[[#This Row],[*Learning Model (Daniel)]:[Other2]])</f>
        <v>0</v>
      </c>
      <c r="AV56" s="3"/>
      <c r="AW56" s="3"/>
      <c r="AX56" s="3"/>
    </row>
    <row r="57" spans="1:50" x14ac:dyDescent="0.25">
      <c r="A57" s="21" t="s">
        <v>349</v>
      </c>
      <c r="B57" s="8" t="s">
        <v>5</v>
      </c>
      <c r="C57" s="13" t="s">
        <v>348</v>
      </c>
      <c r="D57" s="13" t="s">
        <v>387</v>
      </c>
      <c r="E57" s="13" t="s">
        <v>389</v>
      </c>
      <c r="F57" s="13" t="s">
        <v>552</v>
      </c>
      <c r="G57" s="3" t="s">
        <v>350</v>
      </c>
      <c r="H57" s="3"/>
      <c r="I57" s="3"/>
      <c r="J57" s="4"/>
      <c r="K57" s="4"/>
      <c r="L57" s="11"/>
      <c r="M57" s="4"/>
      <c r="N57" s="3"/>
      <c r="O57" s="3"/>
      <c r="P57" s="3"/>
      <c r="Q57" s="3"/>
      <c r="R57" s="3"/>
      <c r="S57" s="19"/>
      <c r="T57" s="19"/>
      <c r="U57" s="2">
        <f>DATEDIF(Table1[[#This Row],[Start Date*]],Table1[[#This Row],[End Date*]],"d")</f>
        <v>0</v>
      </c>
      <c r="V57" s="18">
        <f>SUM(Table1[[#This Row],[DB]:[EH]])</f>
        <v>0</v>
      </c>
      <c r="W57" s="3"/>
      <c r="X57" s="3"/>
      <c r="Y57" s="3"/>
      <c r="Z57" s="3"/>
      <c r="AC57" s="3"/>
      <c r="AD57" s="8"/>
      <c r="AE57" s="8"/>
      <c r="AF57" s="3"/>
      <c r="AG57" s="3"/>
      <c r="AH57" s="3"/>
      <c r="AI57" s="3"/>
      <c r="AJ57" s="3"/>
      <c r="AK57" s="17">
        <f>SUBTOTAL(9,Table1[[#This Row],[Online Learning]:[Other]])</f>
        <v>0</v>
      </c>
      <c r="AL57" s="17"/>
      <c r="AM57" s="24"/>
      <c r="AN57" s="24"/>
      <c r="AO57" s="24"/>
      <c r="AP57" s="24"/>
      <c r="AQ57" s="24"/>
      <c r="AR57" s="24"/>
      <c r="AS57" s="46"/>
      <c r="AT57" s="47"/>
      <c r="AU57" s="14">
        <f>SUM(Table1[[#This Row],[*Learning Model (Daniel)]:[Other2]])</f>
        <v>0</v>
      </c>
      <c r="AV57" s="3"/>
      <c r="AW57" s="3"/>
      <c r="AX57" s="3"/>
    </row>
    <row r="58" spans="1:50" x14ac:dyDescent="0.25">
      <c r="A58" s="21" t="s">
        <v>346</v>
      </c>
      <c r="B58" s="8" t="s">
        <v>5</v>
      </c>
      <c r="C58" s="13" t="s">
        <v>345</v>
      </c>
      <c r="D58" s="13" t="s">
        <v>387</v>
      </c>
      <c r="E58" s="13" t="s">
        <v>389</v>
      </c>
      <c r="F58" s="13" t="s">
        <v>552</v>
      </c>
      <c r="G58" s="3" t="s">
        <v>347</v>
      </c>
      <c r="H58" s="3"/>
      <c r="I58" s="3"/>
      <c r="J58" s="4"/>
      <c r="K58" s="4"/>
      <c r="L58" s="11"/>
      <c r="M58" s="4"/>
      <c r="N58" s="3"/>
      <c r="O58" s="3"/>
      <c r="P58" s="3"/>
      <c r="Q58" s="3"/>
      <c r="R58" s="3"/>
      <c r="S58" s="19"/>
      <c r="T58" s="19"/>
      <c r="U58" s="2">
        <f>DATEDIF(Table1[[#This Row],[Start Date*]],Table1[[#This Row],[End Date*]],"d")</f>
        <v>0</v>
      </c>
      <c r="V58" s="18">
        <f>SUM(Table1[[#This Row],[DB]:[EH]])</f>
        <v>0</v>
      </c>
      <c r="W58" s="3"/>
      <c r="X58" s="3"/>
      <c r="Y58" s="3"/>
      <c r="Z58" s="3"/>
      <c r="AC58" s="3"/>
      <c r="AD58" s="8"/>
      <c r="AE58" s="8"/>
      <c r="AF58" s="3"/>
      <c r="AG58" s="3"/>
      <c r="AH58" s="3"/>
      <c r="AI58" s="3"/>
      <c r="AJ58" s="3"/>
      <c r="AK58" s="17">
        <f>SUBTOTAL(9,Table1[[#This Row],[Online Learning]:[Other]])</f>
        <v>0</v>
      </c>
      <c r="AL58" s="17"/>
      <c r="AM58" s="24"/>
      <c r="AN58" s="24"/>
      <c r="AO58" s="24"/>
      <c r="AP58" s="24"/>
      <c r="AQ58" s="24"/>
      <c r="AR58" s="24"/>
      <c r="AS58" s="46"/>
      <c r="AT58" s="47"/>
      <c r="AU58" s="14">
        <f>SUM(Table1[[#This Row],[*Learning Model (Daniel)]:[Other2]])</f>
        <v>0</v>
      </c>
      <c r="AV58" s="3"/>
      <c r="AW58" s="3"/>
      <c r="AX58" s="3"/>
    </row>
    <row r="59" spans="1:50" x14ac:dyDescent="0.25">
      <c r="A59" s="21" t="s">
        <v>343</v>
      </c>
      <c r="B59" s="8" t="s">
        <v>5</v>
      </c>
      <c r="C59" s="13" t="s">
        <v>342</v>
      </c>
      <c r="D59" s="13" t="s">
        <v>387</v>
      </c>
      <c r="E59" s="13" t="s">
        <v>46</v>
      </c>
      <c r="F59" s="13" t="s">
        <v>564</v>
      </c>
      <c r="G59" s="3" t="s">
        <v>344</v>
      </c>
      <c r="H59" s="3"/>
      <c r="I59" s="3"/>
      <c r="J59" s="4"/>
      <c r="K59" s="4"/>
      <c r="L59" s="11"/>
      <c r="M59" s="4"/>
      <c r="N59" s="3"/>
      <c r="O59" s="3"/>
      <c r="P59" s="3"/>
      <c r="Q59" s="3"/>
      <c r="R59" s="3"/>
      <c r="S59" s="19"/>
      <c r="T59" s="19"/>
      <c r="U59" s="2">
        <f>DATEDIF(Table1[[#This Row],[Start Date*]],Table1[[#This Row],[End Date*]],"d")</f>
        <v>0</v>
      </c>
      <c r="V59" s="18">
        <f>SUM(Table1[[#This Row],[DB]:[EH]])</f>
        <v>0</v>
      </c>
      <c r="W59" s="3"/>
      <c r="X59" s="3"/>
      <c r="Y59" s="3"/>
      <c r="Z59" s="3"/>
      <c r="AC59" s="3"/>
      <c r="AD59" s="8"/>
      <c r="AE59" s="8"/>
      <c r="AF59" s="3"/>
      <c r="AG59" s="3"/>
      <c r="AH59" s="3"/>
      <c r="AI59" s="3"/>
      <c r="AJ59" s="3"/>
      <c r="AK59" s="17">
        <f>SUBTOTAL(9,Table1[[#This Row],[Online Learning]:[Other]])</f>
        <v>0</v>
      </c>
      <c r="AL59" s="17"/>
      <c r="AM59" s="24"/>
      <c r="AN59" s="24"/>
      <c r="AO59" s="24"/>
      <c r="AP59" s="24"/>
      <c r="AQ59" s="24"/>
      <c r="AR59" s="24"/>
      <c r="AS59" s="46"/>
      <c r="AT59" s="47"/>
      <c r="AU59" s="14">
        <f>SUM(Table1[[#This Row],[*Learning Model (Daniel)]:[Other2]])</f>
        <v>0</v>
      </c>
      <c r="AV59" s="3"/>
      <c r="AW59" s="3"/>
      <c r="AX59" s="3"/>
    </row>
    <row r="60" spans="1:50" x14ac:dyDescent="0.25">
      <c r="A60" s="21" t="s">
        <v>340</v>
      </c>
      <c r="B60" s="8" t="s">
        <v>5</v>
      </c>
      <c r="C60" s="13" t="s">
        <v>339</v>
      </c>
      <c r="D60" s="13" t="s">
        <v>387</v>
      </c>
      <c r="E60" s="13" t="s">
        <v>46</v>
      </c>
      <c r="F60" s="13" t="s">
        <v>550</v>
      </c>
      <c r="G60" s="3" t="s">
        <v>341</v>
      </c>
      <c r="H60" s="3"/>
      <c r="I60" s="3"/>
      <c r="J60" s="4"/>
      <c r="K60" s="4"/>
      <c r="L60" s="11"/>
      <c r="M60" s="4"/>
      <c r="N60" s="3"/>
      <c r="O60" s="3"/>
      <c r="P60" s="3"/>
      <c r="Q60" s="3"/>
      <c r="R60" s="3"/>
      <c r="S60" s="19"/>
      <c r="T60" s="19"/>
      <c r="U60" s="2">
        <f>DATEDIF(Table1[[#This Row],[Start Date*]],Table1[[#This Row],[End Date*]],"d")</f>
        <v>0</v>
      </c>
      <c r="V60" s="18">
        <f>SUM(Table1[[#This Row],[DB]:[EH]])</f>
        <v>0</v>
      </c>
      <c r="W60" s="3"/>
      <c r="X60" s="3"/>
      <c r="Y60" s="3"/>
      <c r="Z60" s="3"/>
      <c r="AC60" s="3"/>
      <c r="AD60" s="8"/>
      <c r="AE60" s="8"/>
      <c r="AF60" s="3"/>
      <c r="AG60" s="3"/>
      <c r="AH60" s="3"/>
      <c r="AI60" s="3"/>
      <c r="AJ60" s="3"/>
      <c r="AK60" s="17">
        <f>SUBTOTAL(9,Table1[[#This Row],[Online Learning]:[Other]])</f>
        <v>0</v>
      </c>
      <c r="AL60" s="17"/>
      <c r="AM60" s="24"/>
      <c r="AN60" s="24"/>
      <c r="AO60" s="24"/>
      <c r="AP60" s="24"/>
      <c r="AQ60" s="24"/>
      <c r="AR60" s="24"/>
      <c r="AS60" s="46"/>
      <c r="AT60" s="47"/>
      <c r="AU60" s="14">
        <f>SUM(Table1[[#This Row],[*Learning Model (Daniel)]:[Other2]])</f>
        <v>0</v>
      </c>
      <c r="AV60" s="3"/>
      <c r="AW60" s="3"/>
      <c r="AX60" s="3"/>
    </row>
    <row r="61" spans="1:50" x14ac:dyDescent="0.25">
      <c r="A61" s="21" t="s">
        <v>337</v>
      </c>
      <c r="B61" s="8" t="s">
        <v>5</v>
      </c>
      <c r="C61" s="13" t="s">
        <v>336</v>
      </c>
      <c r="D61" s="13" t="s">
        <v>387</v>
      </c>
      <c r="E61" s="13" t="s">
        <v>46</v>
      </c>
      <c r="F61" s="13" t="s">
        <v>560</v>
      </c>
      <c r="G61" s="3" t="s">
        <v>338</v>
      </c>
      <c r="H61" s="3"/>
      <c r="I61" s="3"/>
      <c r="J61" s="4"/>
      <c r="K61" s="4"/>
      <c r="L61" s="11"/>
      <c r="M61" s="4"/>
      <c r="N61" s="3"/>
      <c r="O61" s="3"/>
      <c r="P61" s="3"/>
      <c r="Q61" s="3"/>
      <c r="R61" s="3"/>
      <c r="S61" s="19"/>
      <c r="T61" s="19"/>
      <c r="U61" s="2">
        <f>DATEDIF(Table1[[#This Row],[Start Date*]],Table1[[#This Row],[End Date*]],"d")</f>
        <v>0</v>
      </c>
      <c r="V61" s="18">
        <f>SUM(Table1[[#This Row],[DB]:[EH]])</f>
        <v>0</v>
      </c>
      <c r="W61" s="3"/>
      <c r="X61" s="3"/>
      <c r="Y61" s="3"/>
      <c r="Z61" s="3"/>
      <c r="AC61" s="3"/>
      <c r="AD61" s="8"/>
      <c r="AE61" s="8"/>
      <c r="AF61" s="3"/>
      <c r="AG61" s="3"/>
      <c r="AH61" s="3"/>
      <c r="AI61" s="3"/>
      <c r="AJ61" s="3"/>
      <c r="AK61" s="17">
        <f>SUBTOTAL(9,Table1[[#This Row],[Online Learning]:[Other]])</f>
        <v>0</v>
      </c>
      <c r="AL61" s="17"/>
      <c r="AM61" s="24"/>
      <c r="AN61" s="24"/>
      <c r="AO61" s="24"/>
      <c r="AP61" s="24"/>
      <c r="AQ61" s="24"/>
      <c r="AR61" s="24"/>
      <c r="AS61" s="46"/>
      <c r="AT61" s="47"/>
      <c r="AU61" s="14">
        <f>SUM(Table1[[#This Row],[*Learning Model (Daniel)]:[Other2]])</f>
        <v>0</v>
      </c>
      <c r="AV61" s="3"/>
      <c r="AW61" s="3"/>
      <c r="AX61" s="3"/>
    </row>
    <row r="62" spans="1:50" x14ac:dyDescent="0.25">
      <c r="A62" s="21" t="s">
        <v>334</v>
      </c>
      <c r="B62" s="8" t="s">
        <v>5</v>
      </c>
      <c r="C62" s="13" t="s">
        <v>333</v>
      </c>
      <c r="D62" s="13" t="s">
        <v>387</v>
      </c>
      <c r="E62" s="13" t="s">
        <v>46</v>
      </c>
      <c r="F62" s="13" t="s">
        <v>563</v>
      </c>
      <c r="G62" s="3" t="s">
        <v>335</v>
      </c>
      <c r="H62" s="3"/>
      <c r="I62" s="3"/>
      <c r="J62" s="4"/>
      <c r="K62" s="4"/>
      <c r="L62" s="11"/>
      <c r="M62" s="4"/>
      <c r="N62" s="3"/>
      <c r="O62" s="3"/>
      <c r="P62" s="3"/>
      <c r="Q62" s="3"/>
      <c r="R62" s="3"/>
      <c r="S62" s="19"/>
      <c r="T62" s="19"/>
      <c r="U62" s="2">
        <f>DATEDIF(Table1[[#This Row],[Start Date*]],Table1[[#This Row],[End Date*]],"d")</f>
        <v>0</v>
      </c>
      <c r="V62" s="18">
        <f>SUM(Table1[[#This Row],[DB]:[EH]])</f>
        <v>0</v>
      </c>
      <c r="W62" s="3"/>
      <c r="X62" s="3"/>
      <c r="Y62" s="3"/>
      <c r="Z62" s="3"/>
      <c r="AC62" s="3"/>
      <c r="AD62" s="8"/>
      <c r="AE62" s="8"/>
      <c r="AF62" s="3"/>
      <c r="AG62" s="3"/>
      <c r="AH62" s="3"/>
      <c r="AI62" s="3"/>
      <c r="AJ62" s="3"/>
      <c r="AK62" s="17">
        <f>SUBTOTAL(9,Table1[[#This Row],[Online Learning]:[Other]])</f>
        <v>0</v>
      </c>
      <c r="AL62" s="17"/>
      <c r="AM62" s="24"/>
      <c r="AN62" s="24"/>
      <c r="AO62" s="24"/>
      <c r="AP62" s="24"/>
      <c r="AQ62" s="24"/>
      <c r="AR62" s="24"/>
      <c r="AS62" s="46"/>
      <c r="AT62" s="47"/>
      <c r="AU62" s="14">
        <f>SUM(Table1[[#This Row],[*Learning Model (Daniel)]:[Other2]])</f>
        <v>0</v>
      </c>
      <c r="AV62" s="3"/>
      <c r="AW62" s="3"/>
      <c r="AX62" s="3"/>
    </row>
    <row r="63" spans="1:50" x14ac:dyDescent="0.25">
      <c r="A63" s="21" t="s">
        <v>331</v>
      </c>
      <c r="B63" s="8" t="s">
        <v>5</v>
      </c>
      <c r="C63" s="13" t="s">
        <v>330</v>
      </c>
      <c r="D63" s="13" t="s">
        <v>387</v>
      </c>
      <c r="E63" s="13" t="s">
        <v>46</v>
      </c>
      <c r="F63" s="13" t="s">
        <v>553</v>
      </c>
      <c r="G63" s="3" t="s">
        <v>332</v>
      </c>
      <c r="H63" s="3"/>
      <c r="I63" s="3"/>
      <c r="J63" s="4"/>
      <c r="K63" s="4"/>
      <c r="L63" s="11"/>
      <c r="M63" s="4"/>
      <c r="N63" s="3"/>
      <c r="O63" s="3"/>
      <c r="P63" s="3"/>
      <c r="Q63" s="3"/>
      <c r="R63" s="3"/>
      <c r="S63" s="19"/>
      <c r="T63" s="19"/>
      <c r="U63" s="2">
        <f>DATEDIF(Table1[[#This Row],[Start Date*]],Table1[[#This Row],[End Date*]],"d")</f>
        <v>0</v>
      </c>
      <c r="V63" s="18">
        <f>SUM(Table1[[#This Row],[DB]:[EH]])</f>
        <v>0</v>
      </c>
      <c r="W63" s="3"/>
      <c r="X63" s="3"/>
      <c r="Y63" s="3"/>
      <c r="Z63" s="3"/>
      <c r="AC63" s="3"/>
      <c r="AD63" s="8"/>
      <c r="AE63" s="8"/>
      <c r="AF63" s="3"/>
      <c r="AG63" s="3"/>
      <c r="AH63" s="3"/>
      <c r="AI63" s="3"/>
      <c r="AJ63" s="3"/>
      <c r="AK63" s="17">
        <f>SUBTOTAL(9,Table1[[#This Row],[Online Learning]:[Other]])</f>
        <v>0</v>
      </c>
      <c r="AL63" s="17"/>
      <c r="AM63" s="24"/>
      <c r="AN63" s="24"/>
      <c r="AO63" s="24"/>
      <c r="AP63" s="24"/>
      <c r="AQ63" s="24"/>
      <c r="AR63" s="24"/>
      <c r="AS63" s="46"/>
      <c r="AT63" s="47"/>
      <c r="AU63" s="14">
        <f>SUM(Table1[[#This Row],[*Learning Model (Daniel)]:[Other2]])</f>
        <v>0</v>
      </c>
      <c r="AV63" s="3"/>
      <c r="AW63" s="3"/>
      <c r="AX63" s="3"/>
    </row>
    <row r="64" spans="1:50" x14ac:dyDescent="0.25">
      <c r="A64" s="21" t="s">
        <v>328</v>
      </c>
      <c r="B64" s="8" t="s">
        <v>5</v>
      </c>
      <c r="C64" s="13" t="s">
        <v>327</v>
      </c>
      <c r="D64" s="13" t="s">
        <v>387</v>
      </c>
      <c r="E64" s="13" t="s">
        <v>46</v>
      </c>
      <c r="F64" s="13" t="s">
        <v>562</v>
      </c>
      <c r="G64" s="3" t="s">
        <v>329</v>
      </c>
      <c r="H64" s="3"/>
      <c r="I64" s="3"/>
      <c r="J64" s="4"/>
      <c r="K64" s="4"/>
      <c r="L64" s="11"/>
      <c r="M64" s="4"/>
      <c r="N64" s="3"/>
      <c r="O64" s="3"/>
      <c r="P64" s="3"/>
      <c r="Q64" s="3"/>
      <c r="R64" s="3"/>
      <c r="S64" s="19"/>
      <c r="T64" s="19"/>
      <c r="U64" s="2">
        <f>DATEDIF(Table1[[#This Row],[Start Date*]],Table1[[#This Row],[End Date*]],"d")</f>
        <v>0</v>
      </c>
      <c r="V64" s="18">
        <f>SUM(Table1[[#This Row],[DB]:[EH]])</f>
        <v>0</v>
      </c>
      <c r="W64" s="3"/>
      <c r="X64" s="3"/>
      <c r="Y64" s="3"/>
      <c r="Z64" s="3"/>
      <c r="AC64" s="3"/>
      <c r="AD64" s="8"/>
      <c r="AE64" s="8"/>
      <c r="AF64" s="3"/>
      <c r="AG64" s="3"/>
      <c r="AH64" s="3"/>
      <c r="AI64" s="3"/>
      <c r="AJ64" s="3"/>
      <c r="AK64" s="17">
        <f>SUBTOTAL(9,Table1[[#This Row],[Online Learning]:[Other]])</f>
        <v>0</v>
      </c>
      <c r="AL64" s="17"/>
      <c r="AM64" s="24"/>
      <c r="AN64" s="24"/>
      <c r="AO64" s="24"/>
      <c r="AP64" s="24"/>
      <c r="AQ64" s="24"/>
      <c r="AR64" s="24"/>
      <c r="AS64" s="46"/>
      <c r="AT64" s="47"/>
      <c r="AU64" s="14">
        <f>SUM(Table1[[#This Row],[*Learning Model (Daniel)]:[Other2]])</f>
        <v>0</v>
      </c>
      <c r="AV64" s="3"/>
      <c r="AW64" s="3"/>
      <c r="AX64" s="3"/>
    </row>
    <row r="65" spans="1:50" x14ac:dyDescent="0.25">
      <c r="A65" s="21" t="s">
        <v>325</v>
      </c>
      <c r="B65" s="8" t="s">
        <v>5</v>
      </c>
      <c r="C65" s="13" t="s">
        <v>324</v>
      </c>
      <c r="D65" s="13" t="s">
        <v>387</v>
      </c>
      <c r="E65" s="13" t="s">
        <v>46</v>
      </c>
      <c r="F65" s="13" t="s">
        <v>550</v>
      </c>
      <c r="G65" s="3" t="s">
        <v>326</v>
      </c>
      <c r="H65" s="3"/>
      <c r="I65" s="3"/>
      <c r="J65" s="4"/>
      <c r="K65" s="4"/>
      <c r="L65" s="11"/>
      <c r="M65" s="4"/>
      <c r="N65" s="3"/>
      <c r="O65" s="3"/>
      <c r="P65" s="3"/>
      <c r="Q65" s="3"/>
      <c r="R65" s="3"/>
      <c r="S65" s="19"/>
      <c r="T65" s="19"/>
      <c r="U65" s="2">
        <f>DATEDIF(Table1[[#This Row],[Start Date*]],Table1[[#This Row],[End Date*]],"d")</f>
        <v>0</v>
      </c>
      <c r="V65" s="18">
        <f>SUM(Table1[[#This Row],[DB]:[EH]])</f>
        <v>0</v>
      </c>
      <c r="W65" s="3"/>
      <c r="X65" s="3"/>
      <c r="Y65" s="3"/>
      <c r="Z65" s="3"/>
      <c r="AC65" s="3"/>
      <c r="AD65" s="8"/>
      <c r="AE65" s="8"/>
      <c r="AF65" s="3"/>
      <c r="AG65" s="3"/>
      <c r="AH65" s="3"/>
      <c r="AI65" s="3"/>
      <c r="AJ65" s="3"/>
      <c r="AK65" s="17">
        <f>SUBTOTAL(9,Table1[[#This Row],[Online Learning]:[Other]])</f>
        <v>0</v>
      </c>
      <c r="AL65" s="17"/>
      <c r="AM65" s="24"/>
      <c r="AN65" s="24"/>
      <c r="AO65" s="24"/>
      <c r="AP65" s="24"/>
      <c r="AQ65" s="24"/>
      <c r="AR65" s="24"/>
      <c r="AS65" s="46"/>
      <c r="AT65" s="47"/>
      <c r="AU65" s="14">
        <f>SUM(Table1[[#This Row],[*Learning Model (Daniel)]:[Other2]])</f>
        <v>0</v>
      </c>
      <c r="AV65" s="3"/>
      <c r="AW65" s="3"/>
      <c r="AX65" s="3"/>
    </row>
    <row r="66" spans="1:50" x14ac:dyDescent="0.25">
      <c r="A66" s="21" t="s">
        <v>322</v>
      </c>
      <c r="B66" s="8" t="s">
        <v>5</v>
      </c>
      <c r="C66" s="13" t="s">
        <v>321</v>
      </c>
      <c r="D66" s="13" t="s">
        <v>387</v>
      </c>
      <c r="E66" s="13" t="s">
        <v>388</v>
      </c>
      <c r="F66" s="13" t="s">
        <v>559</v>
      </c>
      <c r="G66" s="3" t="s">
        <v>323</v>
      </c>
      <c r="H66" s="3"/>
      <c r="I66" s="3"/>
      <c r="J66" s="4"/>
      <c r="K66" s="4"/>
      <c r="L66" s="11"/>
      <c r="M66" s="4"/>
      <c r="N66" s="3"/>
      <c r="O66" s="3"/>
      <c r="P66" s="3"/>
      <c r="Q66" s="3"/>
      <c r="R66" s="3"/>
      <c r="S66" s="19"/>
      <c r="T66" s="19"/>
      <c r="U66" s="2">
        <f>DATEDIF(Table1[[#This Row],[Start Date*]],Table1[[#This Row],[End Date*]],"d")</f>
        <v>0</v>
      </c>
      <c r="V66" s="18">
        <f>SUM(Table1[[#This Row],[DB]:[EH]])</f>
        <v>0</v>
      </c>
      <c r="W66" s="3"/>
      <c r="X66" s="3"/>
      <c r="Y66" s="3"/>
      <c r="Z66" s="3"/>
      <c r="AC66" s="3"/>
      <c r="AD66" s="8"/>
      <c r="AE66" s="8"/>
      <c r="AF66" s="3"/>
      <c r="AG66" s="3"/>
      <c r="AH66" s="3"/>
      <c r="AI66" s="3"/>
      <c r="AJ66" s="3"/>
      <c r="AK66" s="17">
        <f>SUBTOTAL(9,Table1[[#This Row],[Online Learning]:[Other]])</f>
        <v>0</v>
      </c>
      <c r="AL66" s="17"/>
      <c r="AM66" s="24"/>
      <c r="AN66" s="24"/>
      <c r="AO66" s="24"/>
      <c r="AP66" s="24"/>
      <c r="AQ66" s="24"/>
      <c r="AR66" s="24"/>
      <c r="AS66" s="46"/>
      <c r="AT66" s="47"/>
      <c r="AU66" s="14">
        <f>SUM(Table1[[#This Row],[*Learning Model (Daniel)]:[Other2]])</f>
        <v>0</v>
      </c>
      <c r="AV66" s="3"/>
      <c r="AW66" s="3"/>
      <c r="AX66" s="3"/>
    </row>
    <row r="67" spans="1:50" x14ac:dyDescent="0.25">
      <c r="A67" s="21" t="s">
        <v>319</v>
      </c>
      <c r="B67" s="8" t="s">
        <v>5</v>
      </c>
      <c r="C67" s="13" t="s">
        <v>318</v>
      </c>
      <c r="D67" s="13" t="s">
        <v>387</v>
      </c>
      <c r="E67" s="13" t="s">
        <v>388</v>
      </c>
      <c r="F67" s="13" t="s">
        <v>561</v>
      </c>
      <c r="G67" s="3" t="s">
        <v>320</v>
      </c>
      <c r="H67" s="3"/>
      <c r="I67" s="3"/>
      <c r="J67" s="4"/>
      <c r="K67" s="4"/>
      <c r="L67" s="11"/>
      <c r="M67" s="4"/>
      <c r="N67" s="3"/>
      <c r="O67" s="3"/>
      <c r="P67" s="3"/>
      <c r="Q67" s="3"/>
      <c r="R67" s="3"/>
      <c r="S67" s="19"/>
      <c r="T67" s="19"/>
      <c r="U67" s="2">
        <f>DATEDIF(Table1[[#This Row],[Start Date*]],Table1[[#This Row],[End Date*]],"d")</f>
        <v>0</v>
      </c>
      <c r="V67" s="18">
        <f>SUM(Table1[[#This Row],[DB]:[EH]])</f>
        <v>0</v>
      </c>
      <c r="W67" s="3"/>
      <c r="X67" s="3"/>
      <c r="Y67" s="3"/>
      <c r="Z67" s="3"/>
      <c r="AC67" s="3"/>
      <c r="AD67" s="8"/>
      <c r="AE67" s="8"/>
      <c r="AF67" s="3"/>
      <c r="AG67" s="3"/>
      <c r="AH67" s="3"/>
      <c r="AI67" s="3"/>
      <c r="AJ67" s="3"/>
      <c r="AK67" s="17">
        <f>SUBTOTAL(9,Table1[[#This Row],[Online Learning]:[Other]])</f>
        <v>0</v>
      </c>
      <c r="AL67" s="17"/>
      <c r="AM67" s="24"/>
      <c r="AN67" s="24"/>
      <c r="AO67" s="24"/>
      <c r="AP67" s="24"/>
      <c r="AQ67" s="24"/>
      <c r="AR67" s="24"/>
      <c r="AS67" s="46"/>
      <c r="AT67" s="47"/>
      <c r="AU67" s="14">
        <f>SUM(Table1[[#This Row],[*Learning Model (Daniel)]:[Other2]])</f>
        <v>0</v>
      </c>
      <c r="AV67" s="3"/>
      <c r="AW67" s="3"/>
      <c r="AX67" s="3"/>
    </row>
    <row r="68" spans="1:50" x14ac:dyDescent="0.25">
      <c r="A68" s="21" t="s">
        <v>316</v>
      </c>
      <c r="B68" s="8" t="s">
        <v>5</v>
      </c>
      <c r="C68" s="13" t="s">
        <v>315</v>
      </c>
      <c r="D68" s="13" t="s">
        <v>387</v>
      </c>
      <c r="E68" s="13" t="s">
        <v>388</v>
      </c>
      <c r="F68" s="13" t="s">
        <v>561</v>
      </c>
      <c r="G68" s="3" t="s">
        <v>317</v>
      </c>
      <c r="H68" s="3"/>
      <c r="I68" s="3"/>
      <c r="J68" s="4"/>
      <c r="K68" s="4"/>
      <c r="L68" s="11"/>
      <c r="M68" s="4"/>
      <c r="N68" s="3"/>
      <c r="O68" s="3"/>
      <c r="P68" s="3"/>
      <c r="Q68" s="3"/>
      <c r="R68" s="3"/>
      <c r="S68" s="19"/>
      <c r="T68" s="19"/>
      <c r="U68" s="2">
        <f>DATEDIF(Table1[[#This Row],[Start Date*]],Table1[[#This Row],[End Date*]],"d")</f>
        <v>0</v>
      </c>
      <c r="V68" s="18">
        <f>SUM(Table1[[#This Row],[DB]:[EH]])</f>
        <v>0</v>
      </c>
      <c r="W68" s="3"/>
      <c r="X68" s="3"/>
      <c r="Y68" s="3"/>
      <c r="Z68" s="3"/>
      <c r="AC68" s="3"/>
      <c r="AD68" s="8"/>
      <c r="AE68" s="8"/>
      <c r="AF68" s="3"/>
      <c r="AG68" s="3"/>
      <c r="AH68" s="3"/>
      <c r="AI68" s="3"/>
      <c r="AJ68" s="3"/>
      <c r="AK68" s="17">
        <f>SUBTOTAL(9,Table1[[#This Row],[Online Learning]:[Other]])</f>
        <v>0</v>
      </c>
      <c r="AL68" s="17"/>
      <c r="AM68" s="24"/>
      <c r="AN68" s="24"/>
      <c r="AO68" s="24"/>
      <c r="AP68" s="24"/>
      <c r="AQ68" s="24"/>
      <c r="AR68" s="24"/>
      <c r="AS68" s="46"/>
      <c r="AT68" s="47"/>
      <c r="AU68" s="14">
        <f>SUM(Table1[[#This Row],[*Learning Model (Daniel)]:[Other2]])</f>
        <v>0</v>
      </c>
      <c r="AV68" s="3"/>
      <c r="AW68" s="3"/>
      <c r="AX68" s="3"/>
    </row>
    <row r="69" spans="1:50" x14ac:dyDescent="0.25">
      <c r="A69" s="21" t="s">
        <v>313</v>
      </c>
      <c r="B69" s="8" t="s">
        <v>5</v>
      </c>
      <c r="C69" s="13" t="s">
        <v>312</v>
      </c>
      <c r="D69" s="13" t="s">
        <v>387</v>
      </c>
      <c r="E69" s="13" t="s">
        <v>388</v>
      </c>
      <c r="F69" s="13" t="s">
        <v>553</v>
      </c>
      <c r="G69" s="3" t="s">
        <v>314</v>
      </c>
      <c r="H69" s="3"/>
      <c r="I69" s="3"/>
      <c r="J69" s="4"/>
      <c r="K69" s="4"/>
      <c r="L69" s="11"/>
      <c r="M69" s="4"/>
      <c r="N69" s="3"/>
      <c r="O69" s="3"/>
      <c r="P69" s="3"/>
      <c r="Q69" s="3"/>
      <c r="R69" s="3"/>
      <c r="S69" s="19"/>
      <c r="T69" s="19"/>
      <c r="U69" s="2">
        <f>DATEDIF(Table1[[#This Row],[Start Date*]],Table1[[#This Row],[End Date*]],"d")</f>
        <v>0</v>
      </c>
      <c r="V69" s="18">
        <f>SUM(Table1[[#This Row],[DB]:[EH]])</f>
        <v>0</v>
      </c>
      <c r="W69" s="3"/>
      <c r="X69" s="3"/>
      <c r="Y69" s="3"/>
      <c r="Z69" s="3"/>
      <c r="AC69" s="3"/>
      <c r="AD69" s="8"/>
      <c r="AE69" s="8"/>
      <c r="AF69" s="3"/>
      <c r="AG69" s="3"/>
      <c r="AH69" s="3"/>
      <c r="AI69" s="3"/>
      <c r="AJ69" s="3"/>
      <c r="AK69" s="17">
        <f>SUBTOTAL(9,Table1[[#This Row],[Online Learning]:[Other]])</f>
        <v>0</v>
      </c>
      <c r="AL69" s="17"/>
      <c r="AM69" s="24"/>
      <c r="AN69" s="24"/>
      <c r="AO69" s="24"/>
      <c r="AP69" s="24"/>
      <c r="AQ69" s="24"/>
      <c r="AR69" s="24"/>
      <c r="AS69" s="46"/>
      <c r="AT69" s="47"/>
      <c r="AU69" s="14">
        <f>SUM(Table1[[#This Row],[*Learning Model (Daniel)]:[Other2]])</f>
        <v>0</v>
      </c>
      <c r="AV69" s="3"/>
      <c r="AW69" s="3"/>
      <c r="AX69" s="3"/>
    </row>
    <row r="70" spans="1:50" x14ac:dyDescent="0.25">
      <c r="A70" s="21" t="s">
        <v>310</v>
      </c>
      <c r="B70" s="8" t="s">
        <v>5</v>
      </c>
      <c r="C70" s="13" t="s">
        <v>309</v>
      </c>
      <c r="D70" s="13" t="s">
        <v>387</v>
      </c>
      <c r="E70" s="13" t="s">
        <v>388</v>
      </c>
      <c r="F70" s="13"/>
      <c r="G70" s="3" t="s">
        <v>311</v>
      </c>
      <c r="H70" s="3"/>
      <c r="I70" s="3"/>
      <c r="J70" s="4"/>
      <c r="K70" s="4"/>
      <c r="L70" s="11"/>
      <c r="M70" s="4"/>
      <c r="N70" s="3"/>
      <c r="O70" s="3"/>
      <c r="P70" s="3"/>
      <c r="Q70" s="3"/>
      <c r="R70" s="3"/>
      <c r="S70" s="19"/>
      <c r="T70" s="19"/>
      <c r="U70" s="2">
        <f>DATEDIF(Table1[[#This Row],[Start Date*]],Table1[[#This Row],[End Date*]],"d")</f>
        <v>0</v>
      </c>
      <c r="V70" s="18">
        <f>SUM(Table1[[#This Row],[DB]:[EH]])</f>
        <v>0</v>
      </c>
      <c r="W70" s="3"/>
      <c r="X70" s="3"/>
      <c r="Y70" s="3"/>
      <c r="Z70" s="3"/>
      <c r="AC70" s="3"/>
      <c r="AD70" s="8"/>
      <c r="AE70" s="8"/>
      <c r="AF70" s="3"/>
      <c r="AG70" s="3"/>
      <c r="AH70" s="3"/>
      <c r="AI70" s="3"/>
      <c r="AJ70" s="3"/>
      <c r="AK70" s="17">
        <f>SUBTOTAL(9,Table1[[#This Row],[Online Learning]:[Other]])</f>
        <v>0</v>
      </c>
      <c r="AL70" s="17"/>
      <c r="AM70" s="24"/>
      <c r="AN70" s="24"/>
      <c r="AO70" s="24"/>
      <c r="AP70" s="24"/>
      <c r="AQ70" s="24"/>
      <c r="AR70" s="24"/>
      <c r="AS70" s="46"/>
      <c r="AT70" s="47"/>
      <c r="AU70" s="14">
        <f>SUM(Table1[[#This Row],[*Learning Model (Daniel)]:[Other2]])</f>
        <v>0</v>
      </c>
      <c r="AV70" s="3"/>
      <c r="AW70" s="3"/>
      <c r="AX70" s="3"/>
    </row>
    <row r="71" spans="1:50" x14ac:dyDescent="0.25">
      <c r="A71" s="21" t="s">
        <v>307</v>
      </c>
      <c r="B71" s="8" t="s">
        <v>5</v>
      </c>
      <c r="C71" s="13" t="s">
        <v>306</v>
      </c>
      <c r="D71" s="13" t="s">
        <v>387</v>
      </c>
      <c r="E71" s="13" t="s">
        <v>388</v>
      </c>
      <c r="F71" s="13"/>
      <c r="G71" s="3" t="s">
        <v>308</v>
      </c>
      <c r="H71" s="3"/>
      <c r="I71" s="3"/>
      <c r="J71" s="4"/>
      <c r="K71" s="4"/>
      <c r="L71" s="11"/>
      <c r="M71" s="4"/>
      <c r="N71" s="3"/>
      <c r="O71" s="3"/>
      <c r="P71" s="3"/>
      <c r="Q71" s="3"/>
      <c r="R71" s="3"/>
      <c r="S71" s="19"/>
      <c r="T71" s="19"/>
      <c r="U71" s="2">
        <f>DATEDIF(Table1[[#This Row],[Start Date*]],Table1[[#This Row],[End Date*]],"d")</f>
        <v>0</v>
      </c>
      <c r="V71" s="18">
        <f>SUM(Table1[[#This Row],[DB]:[EH]])</f>
        <v>0</v>
      </c>
      <c r="W71" s="3"/>
      <c r="X71" s="3"/>
      <c r="Y71" s="3"/>
      <c r="Z71" s="3"/>
      <c r="AC71" s="3"/>
      <c r="AD71" s="8"/>
      <c r="AE71" s="8"/>
      <c r="AF71" s="3"/>
      <c r="AG71" s="3"/>
      <c r="AH71" s="3"/>
      <c r="AI71" s="3"/>
      <c r="AJ71" s="3"/>
      <c r="AK71" s="17">
        <f>SUBTOTAL(9,Table1[[#This Row],[Online Learning]:[Other]])</f>
        <v>0</v>
      </c>
      <c r="AL71" s="17"/>
      <c r="AM71" s="24"/>
      <c r="AN71" s="24"/>
      <c r="AO71" s="24"/>
      <c r="AP71" s="24"/>
      <c r="AQ71" s="24"/>
      <c r="AR71" s="24"/>
      <c r="AS71" s="46"/>
      <c r="AT71" s="47"/>
      <c r="AU71" s="14">
        <f>SUM(Table1[[#This Row],[*Learning Model (Daniel)]:[Other2]])</f>
        <v>0</v>
      </c>
      <c r="AV71" s="3"/>
      <c r="AW71" s="3"/>
      <c r="AX71" s="3"/>
    </row>
    <row r="72" spans="1:50" x14ac:dyDescent="0.25">
      <c r="A72" s="21" t="s">
        <v>304</v>
      </c>
      <c r="B72" s="8" t="s">
        <v>5</v>
      </c>
      <c r="C72" s="13" t="s">
        <v>303</v>
      </c>
      <c r="D72" s="13" t="s">
        <v>387</v>
      </c>
      <c r="E72" s="13" t="s">
        <v>388</v>
      </c>
      <c r="F72" s="13" t="s">
        <v>552</v>
      </c>
      <c r="G72" s="3" t="s">
        <v>305</v>
      </c>
      <c r="H72" s="3"/>
      <c r="I72" s="3"/>
      <c r="J72" s="4"/>
      <c r="K72" s="4"/>
      <c r="L72" s="11"/>
      <c r="M72" s="4"/>
      <c r="N72" s="3"/>
      <c r="O72" s="3"/>
      <c r="P72" s="3"/>
      <c r="Q72" s="3"/>
      <c r="R72" s="3"/>
      <c r="S72" s="19"/>
      <c r="T72" s="19"/>
      <c r="U72" s="2">
        <f>DATEDIF(Table1[[#This Row],[Start Date*]],Table1[[#This Row],[End Date*]],"d")</f>
        <v>0</v>
      </c>
      <c r="V72" s="18">
        <f>SUM(Table1[[#This Row],[DB]:[EH]])</f>
        <v>0</v>
      </c>
      <c r="W72" s="3"/>
      <c r="X72" s="3"/>
      <c r="Y72" s="3"/>
      <c r="Z72" s="3"/>
      <c r="AC72" s="3"/>
      <c r="AD72" s="8"/>
      <c r="AE72" s="8"/>
      <c r="AF72" s="3"/>
      <c r="AG72" s="3"/>
      <c r="AH72" s="3"/>
      <c r="AI72" s="3"/>
      <c r="AJ72" s="3"/>
      <c r="AK72" s="17">
        <f>SUBTOTAL(9,Table1[[#This Row],[Online Learning]:[Other]])</f>
        <v>0</v>
      </c>
      <c r="AL72" s="17"/>
      <c r="AM72" s="24"/>
      <c r="AN72" s="24"/>
      <c r="AO72" s="24"/>
      <c r="AP72" s="24"/>
      <c r="AQ72" s="24"/>
      <c r="AR72" s="24"/>
      <c r="AS72" s="46"/>
      <c r="AT72" s="47"/>
      <c r="AU72" s="14">
        <f>SUM(Table1[[#This Row],[*Learning Model (Daniel)]:[Other2]])</f>
        <v>0</v>
      </c>
      <c r="AV72" s="3"/>
      <c r="AW72" s="3"/>
      <c r="AX72" s="3"/>
    </row>
    <row r="73" spans="1:50" x14ac:dyDescent="0.25">
      <c r="A73" s="21" t="s">
        <v>301</v>
      </c>
      <c r="B73" s="8" t="s">
        <v>5</v>
      </c>
      <c r="C73" s="13" t="s">
        <v>300</v>
      </c>
      <c r="D73" s="13" t="s">
        <v>387</v>
      </c>
      <c r="E73" s="13" t="s">
        <v>388</v>
      </c>
      <c r="F73" s="13" t="s">
        <v>552</v>
      </c>
      <c r="G73" s="3" t="s">
        <v>302</v>
      </c>
      <c r="H73" s="3"/>
      <c r="I73" s="3"/>
      <c r="J73" s="4"/>
      <c r="K73" s="4"/>
      <c r="L73" s="11"/>
      <c r="M73" s="4"/>
      <c r="N73" s="3"/>
      <c r="O73" s="3"/>
      <c r="P73" s="3"/>
      <c r="Q73" s="3"/>
      <c r="R73" s="3"/>
      <c r="S73" s="19"/>
      <c r="T73" s="19"/>
      <c r="U73" s="2">
        <f>DATEDIF(Table1[[#This Row],[Start Date*]],Table1[[#This Row],[End Date*]],"d")</f>
        <v>0</v>
      </c>
      <c r="V73" s="18">
        <f>SUM(Table1[[#This Row],[DB]:[EH]])</f>
        <v>0</v>
      </c>
      <c r="W73" s="3"/>
      <c r="X73" s="3"/>
      <c r="Y73" s="3"/>
      <c r="Z73" s="3"/>
      <c r="AC73" s="3"/>
      <c r="AD73" s="8"/>
      <c r="AE73" s="8"/>
      <c r="AF73" s="3"/>
      <c r="AG73" s="3"/>
      <c r="AH73" s="3"/>
      <c r="AI73" s="3"/>
      <c r="AJ73" s="3"/>
      <c r="AK73" s="17">
        <f>SUBTOTAL(9,Table1[[#This Row],[Online Learning]:[Other]])</f>
        <v>0</v>
      </c>
      <c r="AL73" s="17"/>
      <c r="AM73" s="24"/>
      <c r="AN73" s="24"/>
      <c r="AO73" s="24"/>
      <c r="AP73" s="24"/>
      <c r="AQ73" s="24"/>
      <c r="AR73" s="24"/>
      <c r="AS73" s="46"/>
      <c r="AT73" s="47"/>
      <c r="AU73" s="14">
        <f>SUM(Table1[[#This Row],[*Learning Model (Daniel)]:[Other2]])</f>
        <v>0</v>
      </c>
      <c r="AV73" s="3"/>
      <c r="AW73" s="3"/>
      <c r="AX73" s="3"/>
    </row>
    <row r="74" spans="1:50" x14ac:dyDescent="0.25">
      <c r="A74" s="21" t="s">
        <v>298</v>
      </c>
      <c r="B74" s="8" t="s">
        <v>5</v>
      </c>
      <c r="C74" s="13" t="s">
        <v>297</v>
      </c>
      <c r="D74" s="13" t="s">
        <v>387</v>
      </c>
      <c r="E74" s="13" t="s">
        <v>388</v>
      </c>
      <c r="F74" s="13" t="s">
        <v>552</v>
      </c>
      <c r="G74" s="3" t="s">
        <v>299</v>
      </c>
      <c r="H74" s="3"/>
      <c r="I74" s="3"/>
      <c r="J74" s="4"/>
      <c r="K74" s="4"/>
      <c r="L74" s="11"/>
      <c r="M74" s="4"/>
      <c r="N74" s="3"/>
      <c r="O74" s="3"/>
      <c r="P74" s="3"/>
      <c r="Q74" s="3"/>
      <c r="R74" s="3"/>
      <c r="S74" s="19"/>
      <c r="T74" s="19"/>
      <c r="U74" s="2">
        <f>DATEDIF(Table1[[#This Row],[Start Date*]],Table1[[#This Row],[End Date*]],"d")</f>
        <v>0</v>
      </c>
      <c r="V74" s="18">
        <f>SUM(Table1[[#This Row],[DB]:[EH]])</f>
        <v>0</v>
      </c>
      <c r="W74" s="3"/>
      <c r="X74" s="3"/>
      <c r="Y74" s="3"/>
      <c r="Z74" s="3"/>
      <c r="AC74" s="3"/>
      <c r="AD74" s="8"/>
      <c r="AE74" s="8"/>
      <c r="AF74" s="3"/>
      <c r="AG74" s="3"/>
      <c r="AH74" s="3"/>
      <c r="AI74" s="3"/>
      <c r="AJ74" s="3"/>
      <c r="AK74" s="17">
        <f>SUBTOTAL(9,Table1[[#This Row],[Online Learning]:[Other]])</f>
        <v>0</v>
      </c>
      <c r="AL74" s="17"/>
      <c r="AM74" s="24"/>
      <c r="AN74" s="24"/>
      <c r="AO74" s="24"/>
      <c r="AP74" s="24"/>
      <c r="AQ74" s="24"/>
      <c r="AR74" s="24"/>
      <c r="AS74" s="46"/>
      <c r="AT74" s="47"/>
      <c r="AU74" s="14">
        <f>SUM(Table1[[#This Row],[*Learning Model (Daniel)]:[Other2]])</f>
        <v>0</v>
      </c>
      <c r="AV74" s="3"/>
      <c r="AW74" s="3"/>
      <c r="AX74" s="3"/>
    </row>
    <row r="75" spans="1:50" x14ac:dyDescent="0.25">
      <c r="A75" s="21" t="s">
        <v>295</v>
      </c>
      <c r="B75" s="8" t="s">
        <v>5</v>
      </c>
      <c r="C75" s="13" t="s">
        <v>294</v>
      </c>
      <c r="D75" s="13" t="s">
        <v>387</v>
      </c>
      <c r="E75" s="13" t="s">
        <v>388</v>
      </c>
      <c r="F75" s="13" t="s">
        <v>552</v>
      </c>
      <c r="G75" s="3" t="s">
        <v>296</v>
      </c>
      <c r="H75" s="3"/>
      <c r="I75" s="3"/>
      <c r="J75" s="4"/>
      <c r="K75" s="4"/>
      <c r="L75" s="11"/>
      <c r="M75" s="4"/>
      <c r="N75" s="3"/>
      <c r="O75" s="3"/>
      <c r="P75" s="3"/>
      <c r="Q75" s="3"/>
      <c r="R75" s="3"/>
      <c r="S75" s="19"/>
      <c r="T75" s="19"/>
      <c r="U75" s="2">
        <f>DATEDIF(Table1[[#This Row],[Start Date*]],Table1[[#This Row],[End Date*]],"d")</f>
        <v>0</v>
      </c>
      <c r="V75" s="18">
        <f>SUM(Table1[[#This Row],[DB]:[EH]])</f>
        <v>0</v>
      </c>
      <c r="W75" s="3"/>
      <c r="X75" s="3"/>
      <c r="Y75" s="3"/>
      <c r="Z75" s="3"/>
      <c r="AC75" s="3"/>
      <c r="AD75" s="8"/>
      <c r="AE75" s="8"/>
      <c r="AF75" s="3"/>
      <c r="AG75" s="3"/>
      <c r="AH75" s="3"/>
      <c r="AI75" s="3"/>
      <c r="AJ75" s="3"/>
      <c r="AK75" s="17">
        <f>SUBTOTAL(9,Table1[[#This Row],[Online Learning]:[Other]])</f>
        <v>0</v>
      </c>
      <c r="AL75" s="17"/>
      <c r="AM75" s="24"/>
      <c r="AN75" s="24"/>
      <c r="AO75" s="24"/>
      <c r="AP75" s="24"/>
      <c r="AQ75" s="24"/>
      <c r="AR75" s="24"/>
      <c r="AS75" s="46"/>
      <c r="AT75" s="47"/>
      <c r="AU75" s="14">
        <f>SUM(Table1[[#This Row],[*Learning Model (Daniel)]:[Other2]])</f>
        <v>0</v>
      </c>
      <c r="AV75" s="3"/>
      <c r="AW75" s="3"/>
      <c r="AX75" s="3"/>
    </row>
    <row r="76" spans="1:50" x14ac:dyDescent="0.25">
      <c r="A76" s="21" t="s">
        <v>292</v>
      </c>
      <c r="B76" s="8" t="s">
        <v>5</v>
      </c>
      <c r="C76" s="13" t="s">
        <v>291</v>
      </c>
      <c r="D76" s="13" t="s">
        <v>387</v>
      </c>
      <c r="E76" s="13" t="s">
        <v>388</v>
      </c>
      <c r="F76" s="13" t="s">
        <v>552</v>
      </c>
      <c r="G76" s="3" t="s">
        <v>293</v>
      </c>
      <c r="H76" s="3"/>
      <c r="I76" s="3"/>
      <c r="J76" s="4"/>
      <c r="K76" s="4"/>
      <c r="L76" s="11"/>
      <c r="M76" s="4"/>
      <c r="N76" s="3"/>
      <c r="O76" s="3"/>
      <c r="P76" s="3"/>
      <c r="Q76" s="3"/>
      <c r="R76" s="3"/>
      <c r="S76" s="19"/>
      <c r="T76" s="19"/>
      <c r="U76" s="2">
        <f>DATEDIF(Table1[[#This Row],[Start Date*]],Table1[[#This Row],[End Date*]],"d")</f>
        <v>0</v>
      </c>
      <c r="V76" s="18">
        <f>SUM(Table1[[#This Row],[DB]:[EH]])</f>
        <v>0</v>
      </c>
      <c r="W76" s="3"/>
      <c r="X76" s="3"/>
      <c r="Y76" s="3"/>
      <c r="Z76" s="3"/>
      <c r="AC76" s="3"/>
      <c r="AD76" s="8"/>
      <c r="AE76" s="8"/>
      <c r="AF76" s="3"/>
      <c r="AG76" s="3"/>
      <c r="AH76" s="3"/>
      <c r="AI76" s="3"/>
      <c r="AJ76" s="3"/>
      <c r="AK76" s="17">
        <f>SUBTOTAL(9,Table1[[#This Row],[Online Learning]:[Other]])</f>
        <v>0</v>
      </c>
      <c r="AL76" s="17"/>
      <c r="AM76" s="24"/>
      <c r="AN76" s="24"/>
      <c r="AO76" s="24"/>
      <c r="AP76" s="24"/>
      <c r="AQ76" s="24"/>
      <c r="AR76" s="24"/>
      <c r="AS76" s="46"/>
      <c r="AT76" s="47"/>
      <c r="AU76" s="14">
        <f>SUM(Table1[[#This Row],[*Learning Model (Daniel)]:[Other2]])</f>
        <v>0</v>
      </c>
      <c r="AV76" s="3"/>
      <c r="AW76" s="3"/>
      <c r="AX76" s="3"/>
    </row>
    <row r="77" spans="1:50" x14ac:dyDescent="0.25">
      <c r="A77" s="21" t="s">
        <v>269</v>
      </c>
      <c r="B77" s="8" t="s">
        <v>5</v>
      </c>
      <c r="C77" s="13" t="s">
        <v>268</v>
      </c>
      <c r="D77" s="13" t="s">
        <v>270</v>
      </c>
      <c r="E77" s="13" t="s">
        <v>547</v>
      </c>
      <c r="F77" s="13"/>
      <c r="G77" s="3" t="s">
        <v>290</v>
      </c>
      <c r="H77" s="3"/>
      <c r="I77" s="3"/>
      <c r="J77" s="4"/>
      <c r="K77" s="4"/>
      <c r="L77" s="11"/>
      <c r="M77" s="4"/>
      <c r="N77" s="3"/>
      <c r="O77" s="3"/>
      <c r="P77" s="3"/>
      <c r="Q77" s="3"/>
      <c r="R77" s="3"/>
      <c r="S77" s="19"/>
      <c r="T77" s="19"/>
      <c r="U77" s="2">
        <f>DATEDIF(Table1[[#This Row],[Start Date*]],Table1[[#This Row],[End Date*]],"d")</f>
        <v>0</v>
      </c>
      <c r="V77" s="18">
        <f>SUM(Table1[[#This Row],[DB]:[EH]])</f>
        <v>0</v>
      </c>
      <c r="W77" s="3"/>
      <c r="X77" s="3"/>
      <c r="Y77" s="3"/>
      <c r="Z77" s="3"/>
      <c r="AC77" s="3"/>
      <c r="AD77" s="8"/>
      <c r="AE77" s="8"/>
      <c r="AF77" s="3"/>
      <c r="AG77" s="3"/>
      <c r="AH77" s="3"/>
      <c r="AI77" s="3"/>
      <c r="AJ77" s="3"/>
      <c r="AK77" s="17">
        <f>SUBTOTAL(9,Table1[[#This Row],[Online Learning]:[Other]])</f>
        <v>0</v>
      </c>
      <c r="AL77" s="17"/>
      <c r="AM77" s="24"/>
      <c r="AN77" s="24"/>
      <c r="AO77" s="24"/>
      <c r="AP77" s="24"/>
      <c r="AQ77" s="24"/>
      <c r="AR77" s="24"/>
      <c r="AS77" s="46"/>
      <c r="AT77" s="47"/>
      <c r="AU77" s="14">
        <f>SUM(Table1[[#This Row],[*Learning Model (Daniel)]:[Other2]])</f>
        <v>0</v>
      </c>
      <c r="AV77" s="3"/>
      <c r="AW77" s="3"/>
      <c r="AX77" s="3"/>
    </row>
    <row r="78" spans="1:50" x14ac:dyDescent="0.25">
      <c r="A78" s="21" t="s">
        <v>267</v>
      </c>
      <c r="B78" s="8" t="s">
        <v>5</v>
      </c>
      <c r="C78" s="13" t="s">
        <v>266</v>
      </c>
      <c r="D78" s="13" t="s">
        <v>270</v>
      </c>
      <c r="E78" s="13" t="s">
        <v>547</v>
      </c>
      <c r="F78" s="13"/>
      <c r="G78" s="3" t="s">
        <v>289</v>
      </c>
      <c r="H78" s="3"/>
      <c r="I78" s="3"/>
      <c r="J78" s="4"/>
      <c r="K78" s="4"/>
      <c r="L78" s="11"/>
      <c r="M78" s="4"/>
      <c r="N78" s="3"/>
      <c r="O78" s="3"/>
      <c r="P78" s="3"/>
      <c r="Q78" s="3"/>
      <c r="R78" s="3"/>
      <c r="S78" s="19"/>
      <c r="T78" s="19"/>
      <c r="U78" s="2">
        <f>DATEDIF(Table1[[#This Row],[Start Date*]],Table1[[#This Row],[End Date*]],"d")</f>
        <v>0</v>
      </c>
      <c r="V78" s="18">
        <f>SUM(Table1[[#This Row],[DB]:[EH]])</f>
        <v>0</v>
      </c>
      <c r="W78" s="3"/>
      <c r="X78" s="3"/>
      <c r="Y78" s="3"/>
      <c r="Z78" s="3"/>
      <c r="AC78" s="3"/>
      <c r="AD78" s="8"/>
      <c r="AE78" s="8"/>
      <c r="AF78" s="3"/>
      <c r="AG78" s="3"/>
      <c r="AH78" s="3"/>
      <c r="AI78" s="3"/>
      <c r="AJ78" s="3"/>
      <c r="AK78" s="17">
        <f>SUBTOTAL(9,Table1[[#This Row],[Online Learning]:[Other]])</f>
        <v>0</v>
      </c>
      <c r="AL78" s="17"/>
      <c r="AM78" s="24"/>
      <c r="AN78" s="24"/>
      <c r="AO78" s="24"/>
      <c r="AP78" s="24"/>
      <c r="AQ78" s="24"/>
      <c r="AR78" s="24"/>
      <c r="AS78" s="46"/>
      <c r="AT78" s="47"/>
      <c r="AU78" s="14">
        <f>SUM(Table1[[#This Row],[*Learning Model (Daniel)]:[Other2]])</f>
        <v>0</v>
      </c>
      <c r="AV78" s="3"/>
      <c r="AW78" s="3"/>
      <c r="AX78" s="3"/>
    </row>
    <row r="79" spans="1:50" x14ac:dyDescent="0.25">
      <c r="A79" s="21" t="s">
        <v>265</v>
      </c>
      <c r="B79" s="8" t="s">
        <v>5</v>
      </c>
      <c r="C79" s="13" t="s">
        <v>264</v>
      </c>
      <c r="D79" s="13" t="s">
        <v>270</v>
      </c>
      <c r="E79" s="13" t="s">
        <v>546</v>
      </c>
      <c r="F79" s="13"/>
      <c r="G79" s="3" t="s">
        <v>288</v>
      </c>
      <c r="H79" s="3"/>
      <c r="I79" s="3"/>
      <c r="J79" s="4"/>
      <c r="K79" s="4"/>
      <c r="L79" s="11"/>
      <c r="M79" s="4"/>
      <c r="N79" s="3"/>
      <c r="O79" s="3"/>
      <c r="P79" s="3"/>
      <c r="Q79" s="3"/>
      <c r="R79" s="3"/>
      <c r="S79" s="19"/>
      <c r="T79" s="19"/>
      <c r="U79" s="2">
        <f>DATEDIF(Table1[[#This Row],[Start Date*]],Table1[[#This Row],[End Date*]],"d")</f>
        <v>0</v>
      </c>
      <c r="V79" s="18">
        <f>SUM(Table1[[#This Row],[DB]:[EH]])</f>
        <v>0</v>
      </c>
      <c r="W79" s="3"/>
      <c r="X79" s="3"/>
      <c r="Y79" s="3"/>
      <c r="Z79" s="3"/>
      <c r="AC79" s="3"/>
      <c r="AD79" s="8"/>
      <c r="AE79" s="8"/>
      <c r="AF79" s="3"/>
      <c r="AG79" s="3"/>
      <c r="AH79" s="3"/>
      <c r="AI79" s="3"/>
      <c r="AJ79" s="3"/>
      <c r="AK79" s="17">
        <f>SUBTOTAL(9,Table1[[#This Row],[Online Learning]:[Other]])</f>
        <v>0</v>
      </c>
      <c r="AL79" s="17"/>
      <c r="AM79" s="24"/>
      <c r="AN79" s="24"/>
      <c r="AO79" s="24"/>
      <c r="AP79" s="24"/>
      <c r="AQ79" s="24"/>
      <c r="AR79" s="24"/>
      <c r="AS79" s="46"/>
      <c r="AT79" s="47"/>
      <c r="AU79" s="14">
        <f>SUM(Table1[[#This Row],[*Learning Model (Daniel)]:[Other2]])</f>
        <v>0</v>
      </c>
      <c r="AV79" s="3"/>
      <c r="AW79" s="3"/>
      <c r="AX79" s="3"/>
    </row>
    <row r="80" spans="1:50" x14ac:dyDescent="0.25">
      <c r="A80" s="21" t="s">
        <v>263</v>
      </c>
      <c r="B80" s="8" t="s">
        <v>5</v>
      </c>
      <c r="C80" s="13" t="s">
        <v>262</v>
      </c>
      <c r="D80" s="13" t="s">
        <v>270</v>
      </c>
      <c r="E80" s="13" t="s">
        <v>546</v>
      </c>
      <c r="F80" s="13"/>
      <c r="G80" s="3" t="s">
        <v>287</v>
      </c>
      <c r="H80" s="3"/>
      <c r="I80" s="3"/>
      <c r="J80" s="4"/>
      <c r="K80" s="4"/>
      <c r="L80" s="11"/>
      <c r="M80" s="4"/>
      <c r="N80" s="3"/>
      <c r="O80" s="3"/>
      <c r="P80" s="3"/>
      <c r="Q80" s="3"/>
      <c r="R80" s="3"/>
      <c r="S80" s="19"/>
      <c r="T80" s="19"/>
      <c r="U80" s="2">
        <f>DATEDIF(Table1[[#This Row],[Start Date*]],Table1[[#This Row],[End Date*]],"d")</f>
        <v>0</v>
      </c>
      <c r="V80" s="18">
        <f>SUM(Table1[[#This Row],[DB]:[EH]])</f>
        <v>0</v>
      </c>
      <c r="W80" s="3"/>
      <c r="X80" s="3"/>
      <c r="Y80" s="3"/>
      <c r="Z80" s="3"/>
      <c r="AC80" s="3"/>
      <c r="AD80" s="8"/>
      <c r="AE80" s="8"/>
      <c r="AF80" s="3"/>
      <c r="AG80" s="3"/>
      <c r="AH80" s="3"/>
      <c r="AI80" s="3"/>
      <c r="AJ80" s="3"/>
      <c r="AK80" s="17">
        <f>SUBTOTAL(9,Table1[[#This Row],[Online Learning]:[Other]])</f>
        <v>0</v>
      </c>
      <c r="AL80" s="17"/>
      <c r="AM80" s="24"/>
      <c r="AN80" s="24"/>
      <c r="AO80" s="24"/>
      <c r="AP80" s="24"/>
      <c r="AQ80" s="24"/>
      <c r="AR80" s="24"/>
      <c r="AS80" s="46"/>
      <c r="AT80" s="47"/>
      <c r="AU80" s="14">
        <f>SUM(Table1[[#This Row],[*Learning Model (Daniel)]:[Other2]])</f>
        <v>0</v>
      </c>
      <c r="AV80" s="3"/>
      <c r="AW80" s="3"/>
      <c r="AX80" s="3"/>
    </row>
    <row r="81" spans="1:50" x14ac:dyDescent="0.25">
      <c r="A81" s="21" t="s">
        <v>261</v>
      </c>
      <c r="B81" s="8" t="s">
        <v>5</v>
      </c>
      <c r="C81" s="13" t="s">
        <v>260</v>
      </c>
      <c r="D81" s="13" t="s">
        <v>270</v>
      </c>
      <c r="E81" s="13" t="s">
        <v>545</v>
      </c>
      <c r="F81" s="13"/>
      <c r="G81" s="3" t="s">
        <v>286</v>
      </c>
      <c r="H81" s="3"/>
      <c r="I81" s="3"/>
      <c r="J81" s="4"/>
      <c r="K81" s="4"/>
      <c r="L81" s="11"/>
      <c r="M81" s="4"/>
      <c r="N81" s="3"/>
      <c r="O81" s="3"/>
      <c r="P81" s="3"/>
      <c r="Q81" s="3"/>
      <c r="R81" s="3"/>
      <c r="S81" s="19"/>
      <c r="T81" s="19"/>
      <c r="U81" s="2">
        <f>DATEDIF(Table1[[#This Row],[Start Date*]],Table1[[#This Row],[End Date*]],"d")</f>
        <v>0</v>
      </c>
      <c r="V81" s="18">
        <f>SUM(Table1[[#This Row],[DB]:[EH]])</f>
        <v>0</v>
      </c>
      <c r="W81" s="3"/>
      <c r="X81" s="3"/>
      <c r="Y81" s="3"/>
      <c r="Z81" s="3"/>
      <c r="AC81" s="3"/>
      <c r="AD81" s="8"/>
      <c r="AE81" s="8"/>
      <c r="AF81" s="3"/>
      <c r="AG81" s="3"/>
      <c r="AH81" s="3"/>
      <c r="AI81" s="3"/>
      <c r="AJ81" s="3"/>
      <c r="AK81" s="17">
        <f>SUBTOTAL(9,Table1[[#This Row],[Online Learning]:[Other]])</f>
        <v>0</v>
      </c>
      <c r="AL81" s="17"/>
      <c r="AM81" s="24"/>
      <c r="AN81" s="24"/>
      <c r="AO81" s="24"/>
      <c r="AP81" s="24"/>
      <c r="AQ81" s="24"/>
      <c r="AR81" s="24"/>
      <c r="AS81" s="46"/>
      <c r="AT81" s="47"/>
      <c r="AU81" s="14">
        <f>SUM(Table1[[#This Row],[*Learning Model (Daniel)]:[Other2]])</f>
        <v>0</v>
      </c>
      <c r="AV81" s="3"/>
      <c r="AW81" s="3"/>
      <c r="AX81" s="3"/>
    </row>
    <row r="82" spans="1:50" x14ac:dyDescent="0.25">
      <c r="A82" s="21" t="s">
        <v>259</v>
      </c>
      <c r="B82" s="8" t="s">
        <v>5</v>
      </c>
      <c r="C82" s="13" t="s">
        <v>258</v>
      </c>
      <c r="D82" s="13" t="s">
        <v>270</v>
      </c>
      <c r="E82" s="13" t="s">
        <v>545</v>
      </c>
      <c r="F82" s="13"/>
      <c r="G82" s="3" t="s">
        <v>285</v>
      </c>
      <c r="H82" s="3"/>
      <c r="I82" s="3"/>
      <c r="J82" s="4"/>
      <c r="K82" s="4"/>
      <c r="L82" s="11"/>
      <c r="M82" s="4"/>
      <c r="N82" s="3"/>
      <c r="O82" s="3"/>
      <c r="P82" s="3"/>
      <c r="Q82" s="3"/>
      <c r="R82" s="3"/>
      <c r="S82" s="19"/>
      <c r="T82" s="19"/>
      <c r="U82" s="2">
        <f>DATEDIF(Table1[[#This Row],[Start Date*]],Table1[[#This Row],[End Date*]],"d")</f>
        <v>0</v>
      </c>
      <c r="V82" s="18">
        <f>SUM(Table1[[#This Row],[DB]:[EH]])</f>
        <v>0</v>
      </c>
      <c r="W82" s="3"/>
      <c r="X82" s="3"/>
      <c r="Y82" s="3"/>
      <c r="Z82" s="3"/>
      <c r="AC82" s="3"/>
      <c r="AD82" s="8"/>
      <c r="AE82" s="8"/>
      <c r="AF82" s="3"/>
      <c r="AG82" s="3"/>
      <c r="AH82" s="3"/>
      <c r="AI82" s="3"/>
      <c r="AJ82" s="3"/>
      <c r="AK82" s="17">
        <f>SUBTOTAL(9,Table1[[#This Row],[Online Learning]:[Other]])</f>
        <v>0</v>
      </c>
      <c r="AL82" s="17"/>
      <c r="AM82" s="24"/>
      <c r="AN82" s="24"/>
      <c r="AO82" s="24"/>
      <c r="AP82" s="24"/>
      <c r="AQ82" s="24"/>
      <c r="AR82" s="24"/>
      <c r="AS82" s="46"/>
      <c r="AT82" s="47"/>
      <c r="AU82" s="14">
        <f>SUM(Table1[[#This Row],[*Learning Model (Daniel)]:[Other2]])</f>
        <v>0</v>
      </c>
      <c r="AV82" s="3"/>
      <c r="AW82" s="3"/>
      <c r="AX82" s="3"/>
    </row>
    <row r="83" spans="1:50" x14ac:dyDescent="0.25">
      <c r="A83" s="21" t="s">
        <v>257</v>
      </c>
      <c r="B83" s="8" t="s">
        <v>5</v>
      </c>
      <c r="C83" s="13" t="s">
        <v>256</v>
      </c>
      <c r="D83" s="13" t="s">
        <v>270</v>
      </c>
      <c r="E83" s="13" t="s">
        <v>544</v>
      </c>
      <c r="F83" s="13"/>
      <c r="G83" s="3" t="s">
        <v>284</v>
      </c>
      <c r="H83" s="3"/>
      <c r="I83" s="3"/>
      <c r="J83" s="4"/>
      <c r="K83" s="4"/>
      <c r="L83" s="11"/>
      <c r="M83" s="4"/>
      <c r="N83" s="3"/>
      <c r="O83" s="3"/>
      <c r="P83" s="3"/>
      <c r="Q83" s="3"/>
      <c r="R83" s="3"/>
      <c r="S83" s="19"/>
      <c r="T83" s="19"/>
      <c r="U83" s="2">
        <f>DATEDIF(Table1[[#This Row],[Start Date*]],Table1[[#This Row],[End Date*]],"d")</f>
        <v>0</v>
      </c>
      <c r="V83" s="18">
        <f>SUM(Table1[[#This Row],[DB]:[EH]])</f>
        <v>0</v>
      </c>
      <c r="W83" s="3"/>
      <c r="X83" s="3"/>
      <c r="Y83" s="3"/>
      <c r="Z83" s="3"/>
      <c r="AC83" s="3"/>
      <c r="AD83" s="8"/>
      <c r="AE83" s="8"/>
      <c r="AF83" s="3"/>
      <c r="AG83" s="3"/>
      <c r="AH83" s="3"/>
      <c r="AI83" s="3"/>
      <c r="AJ83" s="3"/>
      <c r="AK83" s="17">
        <f>SUBTOTAL(9,Table1[[#This Row],[Online Learning]:[Other]])</f>
        <v>0</v>
      </c>
      <c r="AL83" s="17"/>
      <c r="AM83" s="24"/>
      <c r="AN83" s="24"/>
      <c r="AO83" s="24"/>
      <c r="AP83" s="24"/>
      <c r="AQ83" s="24"/>
      <c r="AR83" s="24"/>
      <c r="AS83" s="46"/>
      <c r="AT83" s="47"/>
      <c r="AU83" s="14">
        <f>SUM(Table1[[#This Row],[*Learning Model (Daniel)]:[Other2]])</f>
        <v>0</v>
      </c>
      <c r="AV83" s="3"/>
      <c r="AW83" s="3"/>
      <c r="AX83" s="3"/>
    </row>
    <row r="84" spans="1:50" x14ac:dyDescent="0.25">
      <c r="A84" s="21" t="s">
        <v>255</v>
      </c>
      <c r="B84" s="8" t="s">
        <v>5</v>
      </c>
      <c r="C84" s="13" t="s">
        <v>254</v>
      </c>
      <c r="D84" s="13" t="s">
        <v>270</v>
      </c>
      <c r="E84" s="13" t="s">
        <v>544</v>
      </c>
      <c r="F84" s="13"/>
      <c r="G84" s="3" t="s">
        <v>283</v>
      </c>
      <c r="H84" s="3"/>
      <c r="I84" s="3"/>
      <c r="J84" s="4"/>
      <c r="K84" s="4"/>
      <c r="L84" s="11"/>
      <c r="M84" s="4"/>
      <c r="N84" s="3"/>
      <c r="O84" s="3"/>
      <c r="P84" s="3"/>
      <c r="Q84" s="3"/>
      <c r="R84" s="3"/>
      <c r="S84" s="19"/>
      <c r="T84" s="19"/>
      <c r="U84" s="2">
        <f>DATEDIF(Table1[[#This Row],[Start Date*]],Table1[[#This Row],[End Date*]],"d")</f>
        <v>0</v>
      </c>
      <c r="V84" s="18">
        <f>SUM(Table1[[#This Row],[DB]:[EH]])</f>
        <v>0</v>
      </c>
      <c r="W84" s="3"/>
      <c r="X84" s="3"/>
      <c r="Y84" s="3"/>
      <c r="Z84" s="3"/>
      <c r="AC84" s="3"/>
      <c r="AD84" s="8"/>
      <c r="AE84" s="8"/>
      <c r="AF84" s="3"/>
      <c r="AG84" s="3"/>
      <c r="AH84" s="3"/>
      <c r="AI84" s="3"/>
      <c r="AJ84" s="3"/>
      <c r="AK84" s="17">
        <f>SUBTOTAL(9,Table1[[#This Row],[Online Learning]:[Other]])</f>
        <v>0</v>
      </c>
      <c r="AL84" s="17"/>
      <c r="AM84" s="24"/>
      <c r="AN84" s="24"/>
      <c r="AO84" s="24"/>
      <c r="AP84" s="24"/>
      <c r="AQ84" s="24"/>
      <c r="AR84" s="24"/>
      <c r="AS84" s="46"/>
      <c r="AT84" s="47"/>
      <c r="AU84" s="14">
        <f>SUM(Table1[[#This Row],[*Learning Model (Daniel)]:[Other2]])</f>
        <v>0</v>
      </c>
      <c r="AV84" s="3"/>
      <c r="AW84" s="3"/>
      <c r="AX84" s="3"/>
    </row>
    <row r="85" spans="1:50" x14ac:dyDescent="0.25">
      <c r="A85" s="21" t="s">
        <v>253</v>
      </c>
      <c r="B85" s="8" t="s">
        <v>5</v>
      </c>
      <c r="C85" s="13" t="s">
        <v>252</v>
      </c>
      <c r="D85" s="13" t="s">
        <v>270</v>
      </c>
      <c r="E85" s="13" t="s">
        <v>543</v>
      </c>
      <c r="F85" s="13"/>
      <c r="G85" s="3" t="s">
        <v>282</v>
      </c>
      <c r="H85" s="3"/>
      <c r="I85" s="3"/>
      <c r="J85" s="4"/>
      <c r="K85" s="4"/>
      <c r="L85" s="11"/>
      <c r="M85" s="4"/>
      <c r="N85" s="3"/>
      <c r="O85" s="3"/>
      <c r="P85" s="3"/>
      <c r="Q85" s="3"/>
      <c r="R85" s="3"/>
      <c r="S85" s="19"/>
      <c r="T85" s="19"/>
      <c r="U85" s="2">
        <f>DATEDIF(Table1[[#This Row],[Start Date*]],Table1[[#This Row],[End Date*]],"d")</f>
        <v>0</v>
      </c>
      <c r="V85" s="18">
        <f>SUM(Table1[[#This Row],[DB]:[EH]])</f>
        <v>0</v>
      </c>
      <c r="W85" s="3"/>
      <c r="X85" s="3"/>
      <c r="Y85" s="3"/>
      <c r="Z85" s="3"/>
      <c r="AC85" s="3"/>
      <c r="AD85" s="8"/>
      <c r="AE85" s="8"/>
      <c r="AF85" s="3"/>
      <c r="AG85" s="3"/>
      <c r="AH85" s="3"/>
      <c r="AI85" s="3"/>
      <c r="AJ85" s="3"/>
      <c r="AK85" s="17">
        <f>SUBTOTAL(9,Table1[[#This Row],[Online Learning]:[Other]])</f>
        <v>0</v>
      </c>
      <c r="AL85" s="17"/>
      <c r="AM85" s="24"/>
      <c r="AN85" s="24"/>
      <c r="AO85" s="24"/>
      <c r="AP85" s="24"/>
      <c r="AQ85" s="24"/>
      <c r="AR85" s="24"/>
      <c r="AS85" s="46"/>
      <c r="AT85" s="47"/>
      <c r="AU85" s="14">
        <f>SUM(Table1[[#This Row],[*Learning Model (Daniel)]:[Other2]])</f>
        <v>0</v>
      </c>
      <c r="AV85" s="3"/>
      <c r="AW85" s="3"/>
      <c r="AX85" s="3"/>
    </row>
    <row r="86" spans="1:50" x14ac:dyDescent="0.25">
      <c r="A86" s="21" t="s">
        <v>251</v>
      </c>
      <c r="B86" s="8" t="s">
        <v>5</v>
      </c>
      <c r="C86" s="13" t="s">
        <v>250</v>
      </c>
      <c r="D86" s="13" t="s">
        <v>270</v>
      </c>
      <c r="E86" s="13" t="s">
        <v>543</v>
      </c>
      <c r="F86" s="13"/>
      <c r="G86" s="3" t="s">
        <v>281</v>
      </c>
      <c r="H86" s="3"/>
      <c r="I86" s="3"/>
      <c r="J86" s="4"/>
      <c r="K86" s="4"/>
      <c r="L86" s="11"/>
      <c r="M86" s="4"/>
      <c r="N86" s="3"/>
      <c r="O86" s="3"/>
      <c r="P86" s="3"/>
      <c r="Q86" s="3"/>
      <c r="R86" s="3"/>
      <c r="S86" s="19"/>
      <c r="T86" s="19"/>
      <c r="U86" s="2">
        <f>DATEDIF(Table1[[#This Row],[Start Date*]],Table1[[#This Row],[End Date*]],"d")</f>
        <v>0</v>
      </c>
      <c r="V86" s="18">
        <f>SUM(Table1[[#This Row],[DB]:[EH]])</f>
        <v>0</v>
      </c>
      <c r="W86" s="3"/>
      <c r="X86" s="3"/>
      <c r="Y86" s="3"/>
      <c r="Z86" s="3"/>
      <c r="AC86" s="3"/>
      <c r="AD86" s="8"/>
      <c r="AE86" s="8"/>
      <c r="AF86" s="3"/>
      <c r="AG86" s="3"/>
      <c r="AH86" s="3"/>
      <c r="AI86" s="3"/>
      <c r="AJ86" s="3"/>
      <c r="AK86" s="17">
        <f>SUBTOTAL(9,Table1[[#This Row],[Online Learning]:[Other]])</f>
        <v>0</v>
      </c>
      <c r="AL86" s="17"/>
      <c r="AM86" s="24"/>
      <c r="AN86" s="24"/>
      <c r="AO86" s="24"/>
      <c r="AP86" s="24"/>
      <c r="AQ86" s="24"/>
      <c r="AR86" s="24"/>
      <c r="AS86" s="46"/>
      <c r="AT86" s="47"/>
      <c r="AU86" s="14">
        <f>SUM(Table1[[#This Row],[*Learning Model (Daniel)]:[Other2]])</f>
        <v>0</v>
      </c>
      <c r="AV86" s="3"/>
      <c r="AW86" s="3"/>
      <c r="AX86" s="3"/>
    </row>
    <row r="87" spans="1:50" x14ac:dyDescent="0.25">
      <c r="A87" s="21" t="s">
        <v>249</v>
      </c>
      <c r="B87" s="8" t="s">
        <v>5</v>
      </c>
      <c r="C87" s="13" t="s">
        <v>248</v>
      </c>
      <c r="D87" s="13" t="s">
        <v>270</v>
      </c>
      <c r="E87" s="13" t="s">
        <v>542</v>
      </c>
      <c r="F87" s="13"/>
      <c r="G87" s="3" t="s">
        <v>280</v>
      </c>
      <c r="H87" s="3"/>
      <c r="I87" s="3"/>
      <c r="J87" s="4"/>
      <c r="K87" s="4"/>
      <c r="L87" s="11"/>
      <c r="M87" s="4"/>
      <c r="N87" s="3"/>
      <c r="O87" s="3"/>
      <c r="P87" s="3"/>
      <c r="Q87" s="3"/>
      <c r="R87" s="3"/>
      <c r="S87" s="19"/>
      <c r="T87" s="19"/>
      <c r="U87" s="2">
        <f>DATEDIF(Table1[[#This Row],[Start Date*]],Table1[[#This Row],[End Date*]],"d")</f>
        <v>0</v>
      </c>
      <c r="V87" s="18">
        <f>SUM(Table1[[#This Row],[DB]:[EH]])</f>
        <v>0</v>
      </c>
      <c r="W87" s="3"/>
      <c r="X87" s="3"/>
      <c r="Y87" s="3"/>
      <c r="Z87" s="3"/>
      <c r="AC87" s="3"/>
      <c r="AD87" s="8"/>
      <c r="AE87" s="8"/>
      <c r="AF87" s="3"/>
      <c r="AG87" s="3"/>
      <c r="AH87" s="3"/>
      <c r="AI87" s="3"/>
      <c r="AJ87" s="3"/>
      <c r="AK87" s="17">
        <f>SUBTOTAL(9,Table1[[#This Row],[Online Learning]:[Other]])</f>
        <v>0</v>
      </c>
      <c r="AL87" s="17"/>
      <c r="AM87" s="24"/>
      <c r="AN87" s="24"/>
      <c r="AO87" s="24"/>
      <c r="AP87" s="24"/>
      <c r="AQ87" s="24"/>
      <c r="AR87" s="24"/>
      <c r="AS87" s="46"/>
      <c r="AT87" s="47"/>
      <c r="AU87" s="14">
        <f>SUM(Table1[[#This Row],[*Learning Model (Daniel)]:[Other2]])</f>
        <v>0</v>
      </c>
      <c r="AV87" s="3"/>
      <c r="AW87" s="3"/>
      <c r="AX87" s="3"/>
    </row>
    <row r="88" spans="1:50" x14ac:dyDescent="0.25">
      <c r="A88" s="21" t="s">
        <v>247</v>
      </c>
      <c r="B88" s="8" t="s">
        <v>5</v>
      </c>
      <c r="C88" s="13" t="s">
        <v>246</v>
      </c>
      <c r="D88" s="13" t="s">
        <v>270</v>
      </c>
      <c r="E88" s="13" t="s">
        <v>542</v>
      </c>
      <c r="F88" s="13"/>
      <c r="G88" s="3" t="s">
        <v>279</v>
      </c>
      <c r="H88" s="3"/>
      <c r="I88" s="3"/>
      <c r="J88" s="4"/>
      <c r="K88" s="4"/>
      <c r="L88" s="11"/>
      <c r="M88" s="4"/>
      <c r="N88" s="3"/>
      <c r="O88" s="3"/>
      <c r="P88" s="3"/>
      <c r="Q88" s="3"/>
      <c r="R88" s="3"/>
      <c r="S88" s="19"/>
      <c r="T88" s="19"/>
      <c r="U88" s="2">
        <f>DATEDIF(Table1[[#This Row],[Start Date*]],Table1[[#This Row],[End Date*]],"d")</f>
        <v>0</v>
      </c>
      <c r="V88" s="18">
        <f>SUM(Table1[[#This Row],[DB]:[EH]])</f>
        <v>0</v>
      </c>
      <c r="W88" s="3"/>
      <c r="X88" s="3"/>
      <c r="Y88" s="3"/>
      <c r="Z88" s="3"/>
      <c r="AC88" s="3"/>
      <c r="AD88" s="8"/>
      <c r="AE88" s="8"/>
      <c r="AF88" s="3"/>
      <c r="AG88" s="3"/>
      <c r="AH88" s="3"/>
      <c r="AI88" s="3"/>
      <c r="AJ88" s="3"/>
      <c r="AK88" s="17">
        <f>SUBTOTAL(9,Table1[[#This Row],[Online Learning]:[Other]])</f>
        <v>0</v>
      </c>
      <c r="AL88" s="17"/>
      <c r="AM88" s="24"/>
      <c r="AN88" s="24"/>
      <c r="AO88" s="24"/>
      <c r="AP88" s="24"/>
      <c r="AQ88" s="24"/>
      <c r="AR88" s="24"/>
      <c r="AS88" s="46"/>
      <c r="AT88" s="47"/>
      <c r="AU88" s="14">
        <f>SUM(Table1[[#This Row],[*Learning Model (Daniel)]:[Other2]])</f>
        <v>0</v>
      </c>
      <c r="AV88" s="3"/>
      <c r="AW88" s="3"/>
      <c r="AX88" s="3"/>
    </row>
    <row r="89" spans="1:50" x14ac:dyDescent="0.25">
      <c r="A89" s="21" t="s">
        <v>245</v>
      </c>
      <c r="B89" s="8" t="s">
        <v>5</v>
      </c>
      <c r="C89" s="13" t="s">
        <v>244</v>
      </c>
      <c r="D89" s="13" t="s">
        <v>270</v>
      </c>
      <c r="E89" s="13" t="s">
        <v>542</v>
      </c>
      <c r="F89" s="13"/>
      <c r="G89" s="3" t="s">
        <v>278</v>
      </c>
      <c r="H89" s="3"/>
      <c r="I89" s="3"/>
      <c r="J89" s="4"/>
      <c r="K89" s="4"/>
      <c r="L89" s="11"/>
      <c r="M89" s="4"/>
      <c r="N89" s="3"/>
      <c r="O89" s="3"/>
      <c r="P89" s="3"/>
      <c r="Q89" s="3"/>
      <c r="R89" s="3"/>
      <c r="S89" s="19"/>
      <c r="T89" s="19"/>
      <c r="U89" s="2">
        <f>DATEDIF(Table1[[#This Row],[Start Date*]],Table1[[#This Row],[End Date*]],"d")</f>
        <v>0</v>
      </c>
      <c r="V89" s="18">
        <f>SUM(Table1[[#This Row],[DB]:[EH]])</f>
        <v>0</v>
      </c>
      <c r="W89" s="3"/>
      <c r="X89" s="3"/>
      <c r="Y89" s="3"/>
      <c r="Z89" s="3"/>
      <c r="AC89" s="3"/>
      <c r="AD89" s="8"/>
      <c r="AE89" s="8"/>
      <c r="AF89" s="3"/>
      <c r="AG89" s="3"/>
      <c r="AH89" s="3"/>
      <c r="AI89" s="3"/>
      <c r="AJ89" s="3"/>
      <c r="AK89" s="17">
        <f>SUBTOTAL(9,Table1[[#This Row],[Online Learning]:[Other]])</f>
        <v>0</v>
      </c>
      <c r="AL89" s="17"/>
      <c r="AM89" s="24"/>
      <c r="AN89" s="24"/>
      <c r="AO89" s="24"/>
      <c r="AP89" s="24"/>
      <c r="AQ89" s="24"/>
      <c r="AR89" s="24"/>
      <c r="AS89" s="46"/>
      <c r="AT89" s="47"/>
      <c r="AU89" s="14">
        <f>SUM(Table1[[#This Row],[*Learning Model (Daniel)]:[Other2]])</f>
        <v>0</v>
      </c>
      <c r="AV89" s="3"/>
      <c r="AW89" s="3"/>
      <c r="AX89" s="3"/>
    </row>
    <row r="90" spans="1:50" x14ac:dyDescent="0.25">
      <c r="A90" s="21" t="s">
        <v>243</v>
      </c>
      <c r="B90" s="8" t="s">
        <v>5</v>
      </c>
      <c r="C90" s="13" t="s">
        <v>242</v>
      </c>
      <c r="D90" s="13" t="s">
        <v>270</v>
      </c>
      <c r="E90" s="13" t="s">
        <v>542</v>
      </c>
      <c r="F90" s="13"/>
      <c r="G90" s="3" t="s">
        <v>277</v>
      </c>
      <c r="H90" s="3"/>
      <c r="I90" s="3"/>
      <c r="J90" s="4"/>
      <c r="K90" s="4"/>
      <c r="L90" s="11"/>
      <c r="M90" s="4"/>
      <c r="N90" s="3"/>
      <c r="O90" s="3"/>
      <c r="P90" s="3"/>
      <c r="Q90" s="3"/>
      <c r="R90" s="3"/>
      <c r="S90" s="19"/>
      <c r="T90" s="19"/>
      <c r="U90" s="2">
        <f>DATEDIF(Table1[[#This Row],[Start Date*]],Table1[[#This Row],[End Date*]],"d")</f>
        <v>0</v>
      </c>
      <c r="V90" s="18">
        <f>SUM(Table1[[#This Row],[DB]:[EH]])</f>
        <v>0</v>
      </c>
      <c r="W90" s="3"/>
      <c r="X90" s="3"/>
      <c r="Y90" s="3"/>
      <c r="Z90" s="3"/>
      <c r="AC90" s="3"/>
      <c r="AD90" s="8"/>
      <c r="AE90" s="8"/>
      <c r="AF90" s="3"/>
      <c r="AG90" s="3"/>
      <c r="AH90" s="3"/>
      <c r="AI90" s="3"/>
      <c r="AJ90" s="3"/>
      <c r="AK90" s="17">
        <f>SUBTOTAL(9,Table1[[#This Row],[Online Learning]:[Other]])</f>
        <v>0</v>
      </c>
      <c r="AL90" s="17"/>
      <c r="AM90" s="24"/>
      <c r="AN90" s="24"/>
      <c r="AO90" s="24"/>
      <c r="AP90" s="24"/>
      <c r="AQ90" s="24"/>
      <c r="AR90" s="24"/>
      <c r="AS90" s="46"/>
      <c r="AT90" s="47"/>
      <c r="AU90" s="14">
        <f>SUM(Table1[[#This Row],[*Learning Model (Daniel)]:[Other2]])</f>
        <v>0</v>
      </c>
      <c r="AV90" s="3"/>
      <c r="AW90" s="3"/>
      <c r="AX90" s="3"/>
    </row>
    <row r="91" spans="1:50" x14ac:dyDescent="0.25">
      <c r="A91" s="21" t="s">
        <v>241</v>
      </c>
      <c r="B91" s="8" t="s">
        <v>5</v>
      </c>
      <c r="C91" s="13" t="s">
        <v>240</v>
      </c>
      <c r="D91" s="13" t="s">
        <v>270</v>
      </c>
      <c r="E91" s="13" t="s">
        <v>542</v>
      </c>
      <c r="F91" s="13"/>
      <c r="G91" s="3" t="s">
        <v>276</v>
      </c>
      <c r="H91" s="3"/>
      <c r="I91" s="3"/>
      <c r="J91" s="4"/>
      <c r="K91" s="4"/>
      <c r="L91" s="11"/>
      <c r="M91" s="4"/>
      <c r="N91" s="3"/>
      <c r="O91" s="3"/>
      <c r="P91" s="3"/>
      <c r="Q91" s="3"/>
      <c r="R91" s="3"/>
      <c r="S91" s="19"/>
      <c r="T91" s="19"/>
      <c r="U91" s="2">
        <f>DATEDIF(Table1[[#This Row],[Start Date*]],Table1[[#This Row],[End Date*]],"d")</f>
        <v>0</v>
      </c>
      <c r="V91" s="18">
        <f>SUM(Table1[[#This Row],[DB]:[EH]])</f>
        <v>0</v>
      </c>
      <c r="W91" s="3"/>
      <c r="X91" s="3"/>
      <c r="Y91" s="3"/>
      <c r="Z91" s="3"/>
      <c r="AC91" s="3"/>
      <c r="AD91" s="8"/>
      <c r="AE91" s="8"/>
      <c r="AF91" s="3"/>
      <c r="AG91" s="3"/>
      <c r="AH91" s="3"/>
      <c r="AI91" s="3"/>
      <c r="AJ91" s="3"/>
      <c r="AK91" s="17">
        <f>SUBTOTAL(9,Table1[[#This Row],[Online Learning]:[Other]])</f>
        <v>0</v>
      </c>
      <c r="AL91" s="17"/>
      <c r="AM91" s="24"/>
      <c r="AN91" s="24"/>
      <c r="AO91" s="24"/>
      <c r="AP91" s="24"/>
      <c r="AQ91" s="24"/>
      <c r="AR91" s="24"/>
      <c r="AS91" s="46"/>
      <c r="AT91" s="47"/>
      <c r="AU91" s="14">
        <f>SUM(Table1[[#This Row],[*Learning Model (Daniel)]:[Other2]])</f>
        <v>0</v>
      </c>
      <c r="AV91" s="3"/>
      <c r="AW91" s="3"/>
      <c r="AX91" s="3"/>
    </row>
    <row r="92" spans="1:50" x14ac:dyDescent="0.25">
      <c r="A92" s="21" t="s">
        <v>239</v>
      </c>
      <c r="B92" s="8" t="s">
        <v>5</v>
      </c>
      <c r="C92" s="13" t="s">
        <v>238</v>
      </c>
      <c r="D92" s="13" t="s">
        <v>270</v>
      </c>
      <c r="E92" s="13" t="s">
        <v>542</v>
      </c>
      <c r="F92" s="13"/>
      <c r="G92" s="3" t="s">
        <v>275</v>
      </c>
      <c r="H92" s="3"/>
      <c r="I92" s="3"/>
      <c r="J92" s="4"/>
      <c r="K92" s="4"/>
      <c r="L92" s="11"/>
      <c r="M92" s="4"/>
      <c r="N92" s="3"/>
      <c r="O92" s="3"/>
      <c r="P92" s="3"/>
      <c r="Q92" s="3"/>
      <c r="R92" s="3"/>
      <c r="S92" s="19"/>
      <c r="T92" s="19"/>
      <c r="U92" s="2">
        <f>DATEDIF(Table1[[#This Row],[Start Date*]],Table1[[#This Row],[End Date*]],"d")</f>
        <v>0</v>
      </c>
      <c r="V92" s="18">
        <f>SUM(Table1[[#This Row],[DB]:[EH]])</f>
        <v>0</v>
      </c>
      <c r="W92" s="3"/>
      <c r="X92" s="3"/>
      <c r="Y92" s="3"/>
      <c r="Z92" s="3"/>
      <c r="AC92" s="3"/>
      <c r="AD92" s="8"/>
      <c r="AE92" s="8"/>
      <c r="AF92" s="3"/>
      <c r="AG92" s="3"/>
      <c r="AH92" s="3"/>
      <c r="AI92" s="3"/>
      <c r="AJ92" s="3"/>
      <c r="AK92" s="17">
        <f>SUBTOTAL(9,Table1[[#This Row],[Online Learning]:[Other]])</f>
        <v>0</v>
      </c>
      <c r="AL92" s="17"/>
      <c r="AM92" s="24"/>
      <c r="AN92" s="24"/>
      <c r="AO92" s="24"/>
      <c r="AP92" s="24"/>
      <c r="AQ92" s="24"/>
      <c r="AR92" s="24"/>
      <c r="AS92" s="46"/>
      <c r="AT92" s="47"/>
      <c r="AU92" s="14">
        <f>SUM(Table1[[#This Row],[*Learning Model (Daniel)]:[Other2]])</f>
        <v>0</v>
      </c>
      <c r="AV92" s="3"/>
      <c r="AW92" s="3"/>
      <c r="AX92" s="3"/>
    </row>
    <row r="93" spans="1:50" x14ac:dyDescent="0.25">
      <c r="A93" s="21" t="s">
        <v>237</v>
      </c>
      <c r="B93" s="8" t="s">
        <v>5</v>
      </c>
      <c r="C93" s="13" t="s">
        <v>236</v>
      </c>
      <c r="D93" s="13" t="s">
        <v>270</v>
      </c>
      <c r="E93" s="13" t="s">
        <v>542</v>
      </c>
      <c r="F93" s="13"/>
      <c r="G93" s="3" t="s">
        <v>274</v>
      </c>
      <c r="H93" s="3"/>
      <c r="I93" s="3"/>
      <c r="J93" s="4"/>
      <c r="K93" s="4"/>
      <c r="L93" s="11"/>
      <c r="M93" s="4"/>
      <c r="N93" s="3"/>
      <c r="O93" s="3"/>
      <c r="P93" s="3"/>
      <c r="Q93" s="3"/>
      <c r="R93" s="3"/>
      <c r="S93" s="19"/>
      <c r="T93" s="19"/>
      <c r="U93" s="2">
        <f>DATEDIF(Table1[[#This Row],[Start Date*]],Table1[[#This Row],[End Date*]],"d")</f>
        <v>0</v>
      </c>
      <c r="V93" s="18">
        <f>SUM(Table1[[#This Row],[DB]:[EH]])</f>
        <v>0</v>
      </c>
      <c r="W93" s="3"/>
      <c r="X93" s="3"/>
      <c r="Y93" s="3"/>
      <c r="Z93" s="3"/>
      <c r="AC93" s="3"/>
      <c r="AD93" s="8"/>
      <c r="AE93" s="8"/>
      <c r="AF93" s="3"/>
      <c r="AG93" s="3"/>
      <c r="AH93" s="3"/>
      <c r="AI93" s="3"/>
      <c r="AJ93" s="3"/>
      <c r="AK93" s="17">
        <f>SUBTOTAL(9,Table1[[#This Row],[Online Learning]:[Other]])</f>
        <v>0</v>
      </c>
      <c r="AL93" s="17"/>
      <c r="AM93" s="24"/>
      <c r="AN93" s="24"/>
      <c r="AO93" s="24"/>
      <c r="AP93" s="24"/>
      <c r="AQ93" s="24"/>
      <c r="AR93" s="24"/>
      <c r="AS93" s="46"/>
      <c r="AT93" s="47"/>
      <c r="AU93" s="14">
        <f>SUM(Table1[[#This Row],[*Learning Model (Daniel)]:[Other2]])</f>
        <v>0</v>
      </c>
      <c r="AV93" s="3"/>
      <c r="AW93" s="3"/>
      <c r="AX93" s="3"/>
    </row>
    <row r="94" spans="1:50" x14ac:dyDescent="0.25">
      <c r="A94" s="21" t="s">
        <v>235</v>
      </c>
      <c r="B94" s="8" t="s">
        <v>5</v>
      </c>
      <c r="C94" s="13" t="s">
        <v>234</v>
      </c>
      <c r="D94" s="13" t="s">
        <v>270</v>
      </c>
      <c r="E94" s="13" t="s">
        <v>542</v>
      </c>
      <c r="F94" s="13"/>
      <c r="G94" s="3" t="s">
        <v>273</v>
      </c>
      <c r="H94" s="3"/>
      <c r="I94" s="3"/>
      <c r="J94" s="4"/>
      <c r="K94" s="4"/>
      <c r="L94" s="11"/>
      <c r="M94" s="4"/>
      <c r="N94" s="3"/>
      <c r="O94" s="3"/>
      <c r="P94" s="3"/>
      <c r="Q94" s="3"/>
      <c r="R94" s="3"/>
      <c r="S94" s="19"/>
      <c r="T94" s="19"/>
      <c r="U94" s="2">
        <f>DATEDIF(Table1[[#This Row],[Start Date*]],Table1[[#This Row],[End Date*]],"d")</f>
        <v>0</v>
      </c>
      <c r="V94" s="18">
        <f>SUM(Table1[[#This Row],[DB]:[EH]])</f>
        <v>0</v>
      </c>
      <c r="W94" s="3"/>
      <c r="X94" s="3"/>
      <c r="Y94" s="3"/>
      <c r="Z94" s="3"/>
      <c r="AC94" s="3"/>
      <c r="AD94" s="8"/>
      <c r="AE94" s="8"/>
      <c r="AF94" s="3"/>
      <c r="AG94" s="3"/>
      <c r="AH94" s="3"/>
      <c r="AI94" s="3"/>
      <c r="AJ94" s="3"/>
      <c r="AK94" s="17">
        <f>SUBTOTAL(9,Table1[[#This Row],[Online Learning]:[Other]])</f>
        <v>0</v>
      </c>
      <c r="AL94" s="17"/>
      <c r="AM94" s="24"/>
      <c r="AN94" s="24"/>
      <c r="AO94" s="24"/>
      <c r="AP94" s="24"/>
      <c r="AQ94" s="24"/>
      <c r="AR94" s="24"/>
      <c r="AS94" s="46"/>
      <c r="AT94" s="47"/>
      <c r="AU94" s="14">
        <f>SUM(Table1[[#This Row],[*Learning Model (Daniel)]:[Other2]])</f>
        <v>0</v>
      </c>
      <c r="AV94" s="3"/>
      <c r="AW94" s="3"/>
      <c r="AX94" s="3"/>
    </row>
    <row r="95" spans="1:50" x14ac:dyDescent="0.25">
      <c r="A95" s="21" t="s">
        <v>233</v>
      </c>
      <c r="B95" s="8" t="s">
        <v>5</v>
      </c>
      <c r="C95" s="13" t="s">
        <v>232</v>
      </c>
      <c r="D95" s="13" t="s">
        <v>270</v>
      </c>
      <c r="E95" s="13" t="s">
        <v>542</v>
      </c>
      <c r="F95" s="13" t="s">
        <v>551</v>
      </c>
      <c r="G95" s="3" t="s">
        <v>272</v>
      </c>
      <c r="H95" s="3"/>
      <c r="I95" s="3"/>
      <c r="J95" s="4"/>
      <c r="K95" s="4"/>
      <c r="L95" s="11"/>
      <c r="M95" s="4"/>
      <c r="N95" s="3"/>
      <c r="O95" s="3"/>
      <c r="P95" s="3"/>
      <c r="Q95" s="3"/>
      <c r="R95" s="3"/>
      <c r="S95" s="19"/>
      <c r="T95" s="19"/>
      <c r="U95" s="2">
        <f>DATEDIF(Table1[[#This Row],[Start Date*]],Table1[[#This Row],[End Date*]],"d")</f>
        <v>0</v>
      </c>
      <c r="V95" s="18">
        <f>SUM(Table1[[#This Row],[DB]:[EH]])</f>
        <v>0</v>
      </c>
      <c r="W95" s="3"/>
      <c r="X95" s="3"/>
      <c r="Y95" s="3"/>
      <c r="Z95" s="3"/>
      <c r="AC95" s="3"/>
      <c r="AD95" s="8"/>
      <c r="AE95" s="8"/>
      <c r="AF95" s="3"/>
      <c r="AG95" s="3"/>
      <c r="AH95" s="3"/>
      <c r="AI95" s="3"/>
      <c r="AJ95" s="3"/>
      <c r="AK95" s="17">
        <f>SUBTOTAL(9,Table1[[#This Row],[Online Learning]:[Other]])</f>
        <v>0</v>
      </c>
      <c r="AL95" s="17"/>
      <c r="AM95" s="24"/>
      <c r="AN95" s="24"/>
      <c r="AO95" s="24"/>
      <c r="AP95" s="24"/>
      <c r="AQ95" s="24"/>
      <c r="AR95" s="24"/>
      <c r="AS95" s="46"/>
      <c r="AT95" s="47"/>
      <c r="AU95" s="14">
        <f>SUM(Table1[[#This Row],[*Learning Model (Daniel)]:[Other2]])</f>
        <v>0</v>
      </c>
      <c r="AV95" s="3"/>
      <c r="AW95" s="3"/>
      <c r="AX95" s="3"/>
    </row>
    <row r="96" spans="1:50" x14ac:dyDescent="0.25">
      <c r="A96" s="21" t="s">
        <v>231</v>
      </c>
      <c r="B96" s="8" t="s">
        <v>5</v>
      </c>
      <c r="C96" s="13" t="s">
        <v>230</v>
      </c>
      <c r="D96" s="13" t="s">
        <v>270</v>
      </c>
      <c r="E96" s="13" t="s">
        <v>542</v>
      </c>
      <c r="F96" s="13" t="s">
        <v>551</v>
      </c>
      <c r="G96" s="3" t="s">
        <v>271</v>
      </c>
      <c r="H96" s="3"/>
      <c r="I96" s="3"/>
      <c r="J96" s="4"/>
      <c r="K96" s="4"/>
      <c r="L96" s="11"/>
      <c r="M96" s="4"/>
      <c r="N96" s="3"/>
      <c r="O96" s="3"/>
      <c r="P96" s="3"/>
      <c r="Q96" s="3"/>
      <c r="R96" s="3"/>
      <c r="S96" s="19"/>
      <c r="T96" s="19"/>
      <c r="U96" s="2">
        <f>DATEDIF(Table1[[#This Row],[Start Date*]],Table1[[#This Row],[End Date*]],"d")</f>
        <v>0</v>
      </c>
      <c r="V96" s="18">
        <f>SUM(Table1[[#This Row],[DB]:[EH]])</f>
        <v>0</v>
      </c>
      <c r="W96" s="3"/>
      <c r="X96" s="3"/>
      <c r="Y96" s="3"/>
      <c r="Z96" s="3"/>
      <c r="AC96" s="3"/>
      <c r="AD96" s="8"/>
      <c r="AE96" s="8"/>
      <c r="AF96" s="3"/>
      <c r="AG96" s="3"/>
      <c r="AH96" s="3"/>
      <c r="AI96" s="3"/>
      <c r="AJ96" s="3"/>
      <c r="AK96" s="17">
        <f>SUBTOTAL(9,Table1[[#This Row],[Online Learning]:[Other]])</f>
        <v>0</v>
      </c>
      <c r="AL96" s="17"/>
      <c r="AM96" s="24"/>
      <c r="AN96" s="24"/>
      <c r="AO96" s="24"/>
      <c r="AP96" s="24"/>
      <c r="AQ96" s="24"/>
      <c r="AR96" s="24"/>
      <c r="AS96" s="46"/>
      <c r="AT96" s="47"/>
      <c r="AU96" s="14">
        <f>SUM(Table1[[#This Row],[*Learning Model (Daniel)]:[Other2]])</f>
        <v>0</v>
      </c>
      <c r="AV96" s="3"/>
      <c r="AW96" s="3"/>
      <c r="AX96" s="3"/>
    </row>
    <row r="97" spans="1:50" x14ac:dyDescent="0.25">
      <c r="A97" s="21" t="s">
        <v>229</v>
      </c>
      <c r="B97" s="8" t="s">
        <v>5</v>
      </c>
      <c r="C97" s="13" t="s">
        <v>228</v>
      </c>
      <c r="D97" s="13" t="s">
        <v>270</v>
      </c>
      <c r="E97" s="13" t="s">
        <v>542</v>
      </c>
      <c r="F97" s="13"/>
      <c r="G97" s="3" t="s">
        <v>540</v>
      </c>
      <c r="H97" s="3"/>
      <c r="I97" s="3"/>
      <c r="J97" s="4"/>
      <c r="K97" s="4"/>
      <c r="L97" s="11"/>
      <c r="M97" s="4"/>
      <c r="N97" s="3"/>
      <c r="O97" s="3"/>
      <c r="P97" s="3"/>
      <c r="Q97" s="3"/>
      <c r="R97" s="3"/>
      <c r="S97" s="19"/>
      <c r="T97" s="19"/>
      <c r="U97" s="2">
        <f>DATEDIF(Table1[[#This Row],[Start Date*]],Table1[[#This Row],[End Date*]],"d")</f>
        <v>0</v>
      </c>
      <c r="V97" s="18">
        <f>SUM(Table1[[#This Row],[DB]:[EH]])</f>
        <v>0</v>
      </c>
      <c r="W97" s="3"/>
      <c r="X97" s="3"/>
      <c r="Y97" s="3"/>
      <c r="Z97" s="3"/>
      <c r="AC97" s="3"/>
      <c r="AD97" s="8"/>
      <c r="AE97" s="8"/>
      <c r="AF97" s="3"/>
      <c r="AG97" s="3"/>
      <c r="AH97" s="3"/>
      <c r="AI97" s="3"/>
      <c r="AJ97" s="3"/>
      <c r="AK97" s="17">
        <f>SUBTOTAL(9,Table1[[#This Row],[Online Learning]:[Other]])</f>
        <v>0</v>
      </c>
      <c r="AL97" s="17"/>
      <c r="AM97" s="24"/>
      <c r="AN97" s="24"/>
      <c r="AO97" s="24"/>
      <c r="AP97" s="24"/>
      <c r="AQ97" s="24"/>
      <c r="AR97" s="24"/>
      <c r="AS97" s="46"/>
      <c r="AT97" s="47"/>
      <c r="AU97" s="14">
        <f>SUM(Table1[[#This Row],[*Learning Model (Daniel)]:[Other2]])</f>
        <v>0</v>
      </c>
      <c r="AV97" s="3"/>
      <c r="AW97" s="3"/>
      <c r="AX97" s="3"/>
    </row>
    <row r="98" spans="1:50" x14ac:dyDescent="0.25">
      <c r="A98" s="21" t="s">
        <v>227</v>
      </c>
      <c r="B98" s="8" t="s">
        <v>5</v>
      </c>
      <c r="C98" s="48" t="s">
        <v>226</v>
      </c>
      <c r="D98" s="13" t="s">
        <v>270</v>
      </c>
      <c r="E98" s="13" t="s">
        <v>541</v>
      </c>
      <c r="F98" s="13"/>
      <c r="G98" s="3" t="s">
        <v>539</v>
      </c>
      <c r="H98" s="3"/>
      <c r="I98" s="3"/>
      <c r="J98" s="4"/>
      <c r="K98" s="4"/>
      <c r="L98" s="11"/>
      <c r="M98" s="4"/>
      <c r="N98" s="3"/>
      <c r="O98" s="3"/>
      <c r="P98" s="3"/>
      <c r="Q98" s="3"/>
      <c r="R98" s="3"/>
      <c r="S98" s="19"/>
      <c r="T98" s="19"/>
      <c r="U98" s="2">
        <f>DATEDIF(Table1[[#This Row],[Start Date*]],Table1[[#This Row],[End Date*]],"d")</f>
        <v>0</v>
      </c>
      <c r="V98" s="18">
        <f>SUM(Table1[[#This Row],[DB]:[EH]])</f>
        <v>0</v>
      </c>
      <c r="W98" s="3"/>
      <c r="X98" s="3"/>
      <c r="Y98" s="3"/>
      <c r="Z98" s="3"/>
      <c r="AC98" s="3"/>
      <c r="AD98" s="8"/>
      <c r="AE98" s="8"/>
      <c r="AF98" s="3"/>
      <c r="AG98" s="3"/>
      <c r="AH98" s="3"/>
      <c r="AI98" s="3"/>
      <c r="AJ98" s="3"/>
      <c r="AK98" s="17">
        <f>SUBTOTAL(9,Table1[[#This Row],[Online Learning]:[Other]])</f>
        <v>0</v>
      </c>
      <c r="AL98" s="17"/>
      <c r="AM98" s="24"/>
      <c r="AN98" s="24"/>
      <c r="AO98" s="24"/>
      <c r="AP98" s="24"/>
      <c r="AQ98" s="24"/>
      <c r="AR98" s="24"/>
      <c r="AS98" s="46"/>
      <c r="AT98" s="47"/>
      <c r="AU98" s="14">
        <f>SUM(Table1[[#This Row],[*Learning Model (Daniel)]:[Other2]])</f>
        <v>0</v>
      </c>
      <c r="AV98" s="3"/>
      <c r="AW98" s="3"/>
      <c r="AX98" s="3"/>
    </row>
    <row r="99" spans="1:50" x14ac:dyDescent="0.25">
      <c r="A99" s="21" t="s">
        <v>225</v>
      </c>
      <c r="B99" s="8" t="s">
        <v>5</v>
      </c>
      <c r="C99" s="13" t="s">
        <v>224</v>
      </c>
      <c r="D99" s="13" t="s">
        <v>270</v>
      </c>
      <c r="E99" s="13" t="s">
        <v>541</v>
      </c>
      <c r="F99" s="13"/>
      <c r="G99" s="3" t="s">
        <v>538</v>
      </c>
      <c r="H99" s="3"/>
      <c r="I99" s="3"/>
      <c r="J99" s="4"/>
      <c r="K99" s="4"/>
      <c r="L99" s="11"/>
      <c r="M99" s="4"/>
      <c r="N99" s="3"/>
      <c r="O99" s="3"/>
      <c r="P99" s="3"/>
      <c r="Q99" s="3"/>
      <c r="R99" s="3"/>
      <c r="S99" s="19"/>
      <c r="T99" s="19"/>
      <c r="U99" s="2">
        <f>DATEDIF(Table1[[#This Row],[Start Date*]],Table1[[#This Row],[End Date*]],"d")</f>
        <v>0</v>
      </c>
      <c r="V99" s="18">
        <f>SUM(Table1[[#This Row],[DB]:[EH]])</f>
        <v>0</v>
      </c>
      <c r="W99" s="3"/>
      <c r="X99" s="3"/>
      <c r="Y99" s="3"/>
      <c r="Z99" s="3"/>
      <c r="AC99" s="3"/>
      <c r="AD99" s="8"/>
      <c r="AE99" s="8"/>
      <c r="AF99" s="3"/>
      <c r="AG99" s="3"/>
      <c r="AH99" s="3"/>
      <c r="AI99" s="3"/>
      <c r="AJ99" s="3"/>
      <c r="AK99" s="17">
        <f>SUBTOTAL(9,Table1[[#This Row],[Online Learning]:[Other]])</f>
        <v>0</v>
      </c>
      <c r="AL99" s="17"/>
      <c r="AM99" s="24"/>
      <c r="AN99" s="24"/>
      <c r="AO99" s="24"/>
      <c r="AP99" s="24"/>
      <c r="AQ99" s="24"/>
      <c r="AR99" s="24"/>
      <c r="AS99" s="46"/>
      <c r="AT99" s="47"/>
      <c r="AU99" s="14">
        <f>SUM(Table1[[#This Row],[*Learning Model (Daniel)]:[Other2]])</f>
        <v>0</v>
      </c>
      <c r="AV99" s="3"/>
      <c r="AW99" s="3"/>
      <c r="AX99" s="3"/>
    </row>
    <row r="100" spans="1:50" x14ac:dyDescent="0.25">
      <c r="A100" s="21" t="s">
        <v>223</v>
      </c>
      <c r="B100" s="8" t="s">
        <v>5</v>
      </c>
      <c r="C100" s="13" t="s">
        <v>222</v>
      </c>
      <c r="D100" s="13" t="s">
        <v>270</v>
      </c>
      <c r="E100" s="13" t="s">
        <v>541</v>
      </c>
      <c r="F100" s="13"/>
      <c r="G100" s="3" t="s">
        <v>537</v>
      </c>
      <c r="H100" s="3"/>
      <c r="I100" s="3"/>
      <c r="J100" s="4"/>
      <c r="K100" s="4"/>
      <c r="L100" s="11"/>
      <c r="M100" s="4"/>
      <c r="N100" s="3"/>
      <c r="O100" s="3"/>
      <c r="P100" s="3"/>
      <c r="Q100" s="3"/>
      <c r="R100" s="3"/>
      <c r="S100" s="19"/>
      <c r="T100" s="19"/>
      <c r="U100" s="2">
        <f>DATEDIF(Table1[[#This Row],[Start Date*]],Table1[[#This Row],[End Date*]],"d")</f>
        <v>0</v>
      </c>
      <c r="V100" s="18">
        <f>SUM(Table1[[#This Row],[DB]:[EH]])</f>
        <v>0</v>
      </c>
      <c r="W100" s="3"/>
      <c r="X100" s="3"/>
      <c r="Y100" s="3"/>
      <c r="Z100" s="3"/>
      <c r="AC100" s="3"/>
      <c r="AD100" s="8"/>
      <c r="AE100" s="8"/>
      <c r="AF100" s="3"/>
      <c r="AG100" s="3"/>
      <c r="AH100" s="3"/>
      <c r="AI100" s="3"/>
      <c r="AJ100" s="3"/>
      <c r="AK100" s="17">
        <f>SUBTOTAL(9,Table1[[#This Row],[Online Learning]:[Other]])</f>
        <v>0</v>
      </c>
      <c r="AL100" s="17"/>
      <c r="AM100" s="24"/>
      <c r="AN100" s="24"/>
      <c r="AO100" s="24"/>
      <c r="AP100" s="24"/>
      <c r="AQ100" s="24"/>
      <c r="AR100" s="24"/>
      <c r="AS100" s="46"/>
      <c r="AT100" s="47"/>
      <c r="AU100" s="14">
        <f>SUM(Table1[[#This Row],[*Learning Model (Daniel)]:[Other2]])</f>
        <v>0</v>
      </c>
      <c r="AV100" s="3"/>
      <c r="AW100" s="3"/>
      <c r="AX100" s="3"/>
    </row>
    <row r="101" spans="1:50" x14ac:dyDescent="0.25">
      <c r="A101" s="21" t="s">
        <v>221</v>
      </c>
      <c r="B101" s="8" t="s">
        <v>5</v>
      </c>
      <c r="C101" s="48" t="s">
        <v>220</v>
      </c>
      <c r="D101" s="13" t="s">
        <v>270</v>
      </c>
      <c r="E101" s="13" t="s">
        <v>541</v>
      </c>
      <c r="F101" s="13"/>
      <c r="G101" s="3" t="s">
        <v>536</v>
      </c>
      <c r="H101" s="3"/>
      <c r="I101" s="3"/>
      <c r="J101" s="4"/>
      <c r="K101" s="4"/>
      <c r="L101" s="11"/>
      <c r="M101" s="4"/>
      <c r="N101" s="3"/>
      <c r="O101" s="3"/>
      <c r="P101" s="3"/>
      <c r="Q101" s="3"/>
      <c r="R101" s="3"/>
      <c r="S101" s="19"/>
      <c r="T101" s="19"/>
      <c r="U101" s="2">
        <f>DATEDIF(Table1[[#This Row],[Start Date*]],Table1[[#This Row],[End Date*]],"d")</f>
        <v>0</v>
      </c>
      <c r="V101" s="18">
        <f>SUM(Table1[[#This Row],[DB]:[EH]])</f>
        <v>0</v>
      </c>
      <c r="W101" s="3"/>
      <c r="X101" s="3"/>
      <c r="Y101" s="3"/>
      <c r="Z101" s="3"/>
      <c r="AC101" s="3"/>
      <c r="AD101" s="8"/>
      <c r="AE101" s="8"/>
      <c r="AF101" s="3"/>
      <c r="AG101" s="3"/>
      <c r="AH101" s="3"/>
      <c r="AI101" s="3"/>
      <c r="AJ101" s="3"/>
      <c r="AK101" s="17">
        <f>SUBTOTAL(9,Table1[[#This Row],[Online Learning]:[Other]])</f>
        <v>0</v>
      </c>
      <c r="AL101" s="17"/>
      <c r="AM101" s="24"/>
      <c r="AN101" s="24"/>
      <c r="AO101" s="24"/>
      <c r="AP101" s="24"/>
      <c r="AQ101" s="24"/>
      <c r="AR101" s="24"/>
      <c r="AS101" s="46"/>
      <c r="AT101" s="47"/>
      <c r="AU101" s="14">
        <f>SUM(Table1[[#This Row],[*Learning Model (Daniel)]:[Other2]])</f>
        <v>0</v>
      </c>
      <c r="AV101" s="3"/>
      <c r="AW101" s="3"/>
      <c r="AX101" s="3"/>
    </row>
    <row r="102" spans="1:50" x14ac:dyDescent="0.25">
      <c r="A102" s="21" t="s">
        <v>219</v>
      </c>
      <c r="B102" s="8" t="s">
        <v>5</v>
      </c>
      <c r="C102" s="48" t="s">
        <v>218</v>
      </c>
      <c r="D102" s="13" t="s">
        <v>270</v>
      </c>
      <c r="E102" s="13" t="s">
        <v>541</v>
      </c>
      <c r="F102" s="13"/>
      <c r="G102" s="3" t="s">
        <v>535</v>
      </c>
      <c r="H102" s="3"/>
      <c r="I102" s="3"/>
      <c r="J102" s="4"/>
      <c r="K102" s="4"/>
      <c r="L102" s="11"/>
      <c r="M102" s="4"/>
      <c r="N102" s="3"/>
      <c r="O102" s="3"/>
      <c r="P102" s="3"/>
      <c r="Q102" s="3"/>
      <c r="R102" s="3"/>
      <c r="S102" s="19"/>
      <c r="T102" s="19"/>
      <c r="U102" s="2">
        <f>DATEDIF(Table1[[#This Row],[Start Date*]],Table1[[#This Row],[End Date*]],"d")</f>
        <v>0</v>
      </c>
      <c r="V102" s="18">
        <f>SUM(Table1[[#This Row],[DB]:[EH]])</f>
        <v>0</v>
      </c>
      <c r="W102" s="3"/>
      <c r="X102" s="3"/>
      <c r="Y102" s="3"/>
      <c r="Z102" s="3"/>
      <c r="AC102" s="3"/>
      <c r="AD102" s="8"/>
      <c r="AE102" s="8"/>
      <c r="AF102" s="3"/>
      <c r="AG102" s="3"/>
      <c r="AH102" s="3"/>
      <c r="AI102" s="3"/>
      <c r="AJ102" s="3"/>
      <c r="AK102" s="17">
        <f>SUBTOTAL(9,Table1[[#This Row],[Online Learning]:[Other]])</f>
        <v>0</v>
      </c>
      <c r="AL102" s="17"/>
      <c r="AM102" s="24"/>
      <c r="AN102" s="24"/>
      <c r="AO102" s="24"/>
      <c r="AP102" s="24"/>
      <c r="AQ102" s="24"/>
      <c r="AR102" s="24"/>
      <c r="AS102" s="46"/>
      <c r="AT102" s="47"/>
      <c r="AU102" s="14">
        <f>SUM(Table1[[#This Row],[*Learning Model (Daniel)]:[Other2]])</f>
        <v>0</v>
      </c>
      <c r="AV102" s="3"/>
      <c r="AW102" s="3"/>
      <c r="AX102" s="3"/>
    </row>
    <row r="103" spans="1:50" x14ac:dyDescent="0.25">
      <c r="A103" s="21" t="s">
        <v>217</v>
      </c>
      <c r="B103" s="8" t="s">
        <v>5</v>
      </c>
      <c r="C103" s="48" t="s">
        <v>216</v>
      </c>
      <c r="D103" s="13" t="s">
        <v>270</v>
      </c>
      <c r="E103" s="13" t="s">
        <v>541</v>
      </c>
      <c r="F103" s="13"/>
      <c r="G103" s="3" t="s">
        <v>534</v>
      </c>
      <c r="H103" s="3"/>
      <c r="I103" s="3"/>
      <c r="J103" s="4"/>
      <c r="K103" s="4"/>
      <c r="L103" s="11"/>
      <c r="M103" s="4"/>
      <c r="N103" s="3"/>
      <c r="O103" s="3"/>
      <c r="P103" s="3"/>
      <c r="Q103" s="3"/>
      <c r="R103" s="3"/>
      <c r="S103" s="19"/>
      <c r="T103" s="19"/>
      <c r="U103" s="2">
        <f>DATEDIF(Table1[[#This Row],[Start Date*]],Table1[[#This Row],[End Date*]],"d")</f>
        <v>0</v>
      </c>
      <c r="V103" s="18">
        <f>SUM(Table1[[#This Row],[DB]:[EH]])</f>
        <v>0</v>
      </c>
      <c r="W103" s="3"/>
      <c r="X103" s="3"/>
      <c r="Y103" s="3"/>
      <c r="Z103" s="3"/>
      <c r="AC103" s="3"/>
      <c r="AD103" s="8"/>
      <c r="AE103" s="8"/>
      <c r="AF103" s="3"/>
      <c r="AG103" s="3"/>
      <c r="AH103" s="3"/>
      <c r="AI103" s="3"/>
      <c r="AJ103" s="3"/>
      <c r="AK103" s="17">
        <f>SUBTOTAL(9,Table1[[#This Row],[Online Learning]:[Other]])</f>
        <v>0</v>
      </c>
      <c r="AL103" s="17"/>
      <c r="AM103" s="24"/>
      <c r="AN103" s="24"/>
      <c r="AO103" s="24"/>
      <c r="AP103" s="24"/>
      <c r="AQ103" s="24"/>
      <c r="AR103" s="24"/>
      <c r="AS103" s="46"/>
      <c r="AT103" s="47"/>
      <c r="AU103" s="14">
        <f>SUM(Table1[[#This Row],[*Learning Model (Daniel)]:[Other2]])</f>
        <v>0</v>
      </c>
      <c r="AV103" s="3"/>
      <c r="AW103" s="3"/>
      <c r="AX103" s="3"/>
    </row>
    <row r="104" spans="1:50" x14ac:dyDescent="0.25">
      <c r="A104" s="21" t="s">
        <v>215</v>
      </c>
      <c r="B104" s="8" t="s">
        <v>5</v>
      </c>
      <c r="C104" s="48" t="s">
        <v>214</v>
      </c>
      <c r="D104" s="13" t="s">
        <v>270</v>
      </c>
      <c r="E104" s="13" t="s">
        <v>541</v>
      </c>
      <c r="F104" s="13"/>
      <c r="G104" s="3" t="s">
        <v>533</v>
      </c>
      <c r="H104" s="3"/>
      <c r="I104" s="3"/>
      <c r="J104" s="4"/>
      <c r="K104" s="4"/>
      <c r="L104" s="11"/>
      <c r="M104" s="4"/>
      <c r="N104" s="3"/>
      <c r="O104" s="3"/>
      <c r="P104" s="3"/>
      <c r="Q104" s="3"/>
      <c r="R104" s="3"/>
      <c r="S104" s="19"/>
      <c r="T104" s="19"/>
      <c r="U104" s="2">
        <f>DATEDIF(Table1[[#This Row],[Start Date*]],Table1[[#This Row],[End Date*]],"d")</f>
        <v>0</v>
      </c>
      <c r="V104" s="18">
        <f>SUM(Table1[[#This Row],[DB]:[EH]])</f>
        <v>0</v>
      </c>
      <c r="W104" s="3"/>
      <c r="X104" s="3"/>
      <c r="Y104" s="3"/>
      <c r="Z104" s="3"/>
      <c r="AC104" s="3"/>
      <c r="AD104" s="8"/>
      <c r="AE104" s="8"/>
      <c r="AF104" s="3"/>
      <c r="AG104" s="3"/>
      <c r="AH104" s="3"/>
      <c r="AI104" s="3"/>
      <c r="AJ104" s="3"/>
      <c r="AK104" s="17">
        <f>SUBTOTAL(9,Table1[[#This Row],[Online Learning]:[Other]])</f>
        <v>0</v>
      </c>
      <c r="AL104" s="17"/>
      <c r="AM104" s="24"/>
      <c r="AN104" s="24"/>
      <c r="AO104" s="24"/>
      <c r="AP104" s="24"/>
      <c r="AQ104" s="24"/>
      <c r="AR104" s="24"/>
      <c r="AS104" s="46"/>
      <c r="AT104" s="47"/>
      <c r="AU104" s="14">
        <f>SUM(Table1[[#This Row],[*Learning Model (Daniel)]:[Other2]])</f>
        <v>0</v>
      </c>
      <c r="AV104" s="3"/>
      <c r="AW104" s="3"/>
      <c r="AX104" s="3"/>
    </row>
    <row r="105" spans="1:50" x14ac:dyDescent="0.25">
      <c r="A105" s="21" t="s">
        <v>213</v>
      </c>
      <c r="B105" s="8" t="s">
        <v>5</v>
      </c>
      <c r="C105" s="13" t="s">
        <v>212</v>
      </c>
      <c r="D105" s="13" t="s">
        <v>270</v>
      </c>
      <c r="E105" s="13" t="s">
        <v>541</v>
      </c>
      <c r="F105" s="13"/>
      <c r="G105" s="3" t="s">
        <v>532</v>
      </c>
      <c r="H105" s="3"/>
      <c r="I105" s="3"/>
      <c r="J105" s="4"/>
      <c r="K105" s="4"/>
      <c r="L105" s="11"/>
      <c r="M105" s="4"/>
      <c r="N105" s="3"/>
      <c r="O105" s="3"/>
      <c r="P105" s="3"/>
      <c r="Q105" s="3"/>
      <c r="R105" s="3"/>
      <c r="S105" s="19"/>
      <c r="T105" s="19"/>
      <c r="U105" s="2">
        <f>DATEDIF(Table1[[#This Row],[Start Date*]],Table1[[#This Row],[End Date*]],"d")</f>
        <v>0</v>
      </c>
      <c r="V105" s="18">
        <f>SUM(Table1[[#This Row],[DB]:[EH]])</f>
        <v>0</v>
      </c>
      <c r="W105" s="3"/>
      <c r="X105" s="3"/>
      <c r="Y105" s="3"/>
      <c r="Z105" s="3"/>
      <c r="AC105" s="3"/>
      <c r="AD105" s="8"/>
      <c r="AE105" s="8"/>
      <c r="AF105" s="3"/>
      <c r="AG105" s="3"/>
      <c r="AH105" s="3"/>
      <c r="AI105" s="3"/>
      <c r="AJ105" s="3"/>
      <c r="AK105" s="17">
        <f>SUBTOTAL(9,Table1[[#This Row],[Online Learning]:[Other]])</f>
        <v>0</v>
      </c>
      <c r="AL105" s="17"/>
      <c r="AM105" s="24"/>
      <c r="AN105" s="24"/>
      <c r="AO105" s="24"/>
      <c r="AP105" s="24"/>
      <c r="AQ105" s="24"/>
      <c r="AR105" s="24"/>
      <c r="AS105" s="46"/>
      <c r="AT105" s="47"/>
      <c r="AU105" s="14">
        <f>SUM(Table1[[#This Row],[*Learning Model (Daniel)]:[Other2]])</f>
        <v>0</v>
      </c>
      <c r="AV105" s="3"/>
      <c r="AW105" s="3"/>
      <c r="AX105" s="3"/>
    </row>
    <row r="106" spans="1:50" x14ac:dyDescent="0.25">
      <c r="A106" s="21" t="s">
        <v>211</v>
      </c>
      <c r="B106" s="8" t="s">
        <v>5</v>
      </c>
      <c r="C106" s="13" t="s">
        <v>210</v>
      </c>
      <c r="D106" s="13" t="s">
        <v>270</v>
      </c>
      <c r="E106" s="13" t="s">
        <v>541</v>
      </c>
      <c r="F106" s="13"/>
      <c r="G106" s="3" t="s">
        <v>531</v>
      </c>
      <c r="H106" s="3"/>
      <c r="I106" s="3"/>
      <c r="J106" s="4"/>
      <c r="K106" s="4"/>
      <c r="L106" s="11"/>
      <c r="M106" s="4"/>
      <c r="N106" s="3"/>
      <c r="O106" s="3"/>
      <c r="P106" s="3"/>
      <c r="Q106" s="3"/>
      <c r="R106" s="3"/>
      <c r="S106" s="19"/>
      <c r="T106" s="19"/>
      <c r="U106" s="2">
        <f>DATEDIF(Table1[[#This Row],[Start Date*]],Table1[[#This Row],[End Date*]],"d")</f>
        <v>0</v>
      </c>
      <c r="V106" s="18">
        <f>SUM(Table1[[#This Row],[DB]:[EH]])</f>
        <v>0</v>
      </c>
      <c r="W106" s="3"/>
      <c r="X106" s="3"/>
      <c r="Y106" s="3"/>
      <c r="Z106" s="3"/>
      <c r="AC106" s="3"/>
      <c r="AD106" s="8"/>
      <c r="AE106" s="8"/>
      <c r="AF106" s="3"/>
      <c r="AG106" s="3"/>
      <c r="AH106" s="3"/>
      <c r="AI106" s="3"/>
      <c r="AJ106" s="3"/>
      <c r="AK106" s="17">
        <f>SUBTOTAL(9,Table1[[#This Row],[Online Learning]:[Other]])</f>
        <v>0</v>
      </c>
      <c r="AL106" s="17"/>
      <c r="AM106" s="24"/>
      <c r="AN106" s="24"/>
      <c r="AO106" s="24"/>
      <c r="AP106" s="24"/>
      <c r="AQ106" s="24"/>
      <c r="AR106" s="24"/>
      <c r="AS106" s="46"/>
      <c r="AT106" s="47"/>
      <c r="AU106" s="14">
        <f>SUM(Table1[[#This Row],[*Learning Model (Daniel)]:[Other2]])</f>
        <v>0</v>
      </c>
      <c r="AV106" s="3"/>
      <c r="AW106" s="3"/>
      <c r="AX106" s="3"/>
    </row>
    <row r="107" spans="1:50" x14ac:dyDescent="0.25">
      <c r="A107" s="21" t="s">
        <v>209</v>
      </c>
      <c r="B107" s="8" t="s">
        <v>5</v>
      </c>
      <c r="C107" s="13" t="s">
        <v>208</v>
      </c>
      <c r="D107" s="13" t="s">
        <v>270</v>
      </c>
      <c r="E107" s="13" t="s">
        <v>541</v>
      </c>
      <c r="F107" s="13"/>
      <c r="G107" s="3" t="s">
        <v>530</v>
      </c>
      <c r="H107" s="3"/>
      <c r="I107" s="3"/>
      <c r="J107" s="4"/>
      <c r="K107" s="4"/>
      <c r="L107" s="11"/>
      <c r="M107" s="4"/>
      <c r="N107" s="3"/>
      <c r="O107" s="3"/>
      <c r="P107" s="3"/>
      <c r="Q107" s="3"/>
      <c r="R107" s="3"/>
      <c r="S107" s="19"/>
      <c r="T107" s="19"/>
      <c r="U107" s="2">
        <f>DATEDIF(Table1[[#This Row],[Start Date*]],Table1[[#This Row],[End Date*]],"d")</f>
        <v>0</v>
      </c>
      <c r="V107" s="18">
        <f>SUM(Table1[[#This Row],[DB]:[EH]])</f>
        <v>0</v>
      </c>
      <c r="W107" s="3"/>
      <c r="X107" s="3"/>
      <c r="Y107" s="3"/>
      <c r="Z107" s="3"/>
      <c r="AC107" s="3"/>
      <c r="AD107" s="8"/>
      <c r="AE107" s="8"/>
      <c r="AF107" s="3"/>
      <c r="AG107" s="3"/>
      <c r="AH107" s="3"/>
      <c r="AI107" s="3"/>
      <c r="AJ107" s="3"/>
      <c r="AK107" s="17">
        <f>SUBTOTAL(9,Table1[[#This Row],[Online Learning]:[Other]])</f>
        <v>0</v>
      </c>
      <c r="AL107" s="17"/>
      <c r="AM107" s="24"/>
      <c r="AN107" s="24"/>
      <c r="AO107" s="24"/>
      <c r="AP107" s="24"/>
      <c r="AQ107" s="24"/>
      <c r="AR107" s="24"/>
      <c r="AS107" s="46"/>
      <c r="AT107" s="47"/>
      <c r="AU107" s="14">
        <f>SUM(Table1[[#This Row],[*Learning Model (Daniel)]:[Other2]])</f>
        <v>0</v>
      </c>
      <c r="AV107" s="3"/>
      <c r="AW107" s="3"/>
      <c r="AX107" s="3"/>
    </row>
    <row r="108" spans="1:50" x14ac:dyDescent="0.25">
      <c r="A108" s="21" t="s">
        <v>207</v>
      </c>
      <c r="B108" s="8" t="s">
        <v>5</v>
      </c>
      <c r="C108" s="13" t="s">
        <v>206</v>
      </c>
      <c r="D108" s="13" t="s">
        <v>270</v>
      </c>
      <c r="E108" s="13" t="s">
        <v>541</v>
      </c>
      <c r="F108" s="13"/>
      <c r="G108" s="3" t="s">
        <v>529</v>
      </c>
      <c r="H108" s="3"/>
      <c r="I108" s="3"/>
      <c r="J108" s="4"/>
      <c r="K108" s="4"/>
      <c r="L108" s="11"/>
      <c r="M108" s="4"/>
      <c r="N108" s="3"/>
      <c r="O108" s="3"/>
      <c r="P108" s="3"/>
      <c r="Q108" s="3"/>
      <c r="R108" s="3"/>
      <c r="S108" s="19"/>
      <c r="T108" s="19"/>
      <c r="U108" s="2">
        <f>DATEDIF(Table1[[#This Row],[Start Date*]],Table1[[#This Row],[End Date*]],"d")</f>
        <v>0</v>
      </c>
      <c r="V108" s="18">
        <f>SUM(Table1[[#This Row],[DB]:[EH]])</f>
        <v>0</v>
      </c>
      <c r="W108" s="3"/>
      <c r="X108" s="3"/>
      <c r="Y108" s="3"/>
      <c r="Z108" s="3"/>
      <c r="AC108" s="3"/>
      <c r="AD108" s="8"/>
      <c r="AE108" s="8"/>
      <c r="AF108" s="3"/>
      <c r="AG108" s="3"/>
      <c r="AH108" s="3"/>
      <c r="AI108" s="3"/>
      <c r="AJ108" s="3"/>
      <c r="AK108" s="17">
        <f>SUBTOTAL(9,Table1[[#This Row],[Online Learning]:[Other]])</f>
        <v>0</v>
      </c>
      <c r="AL108" s="17"/>
      <c r="AM108" s="24"/>
      <c r="AN108" s="24"/>
      <c r="AO108" s="24"/>
      <c r="AP108" s="24"/>
      <c r="AQ108" s="24"/>
      <c r="AR108" s="24"/>
      <c r="AS108" s="46"/>
      <c r="AT108" s="47"/>
      <c r="AU108" s="14">
        <f>SUM(Table1[[#This Row],[*Learning Model (Daniel)]:[Other2]])</f>
        <v>0</v>
      </c>
      <c r="AV108" s="3"/>
      <c r="AW108" s="3"/>
      <c r="AX108" s="3"/>
    </row>
    <row r="109" spans="1:50" x14ac:dyDescent="0.25">
      <c r="A109" s="21" t="s">
        <v>205</v>
      </c>
      <c r="B109" s="8" t="s">
        <v>5</v>
      </c>
      <c r="C109" s="13" t="s">
        <v>204</v>
      </c>
      <c r="D109" s="13" t="s">
        <v>270</v>
      </c>
      <c r="E109" s="13" t="s">
        <v>541</v>
      </c>
      <c r="F109" s="13"/>
      <c r="G109" s="3" t="s">
        <v>528</v>
      </c>
      <c r="H109" s="3"/>
      <c r="I109" s="3"/>
      <c r="J109" s="4"/>
      <c r="K109" s="4"/>
      <c r="L109" s="11"/>
      <c r="M109" s="4"/>
      <c r="N109" s="3"/>
      <c r="O109" s="3"/>
      <c r="P109" s="3"/>
      <c r="Q109" s="3"/>
      <c r="R109" s="3"/>
      <c r="S109" s="19"/>
      <c r="T109" s="19"/>
      <c r="U109" s="2">
        <f>DATEDIF(Table1[[#This Row],[Start Date*]],Table1[[#This Row],[End Date*]],"d")</f>
        <v>0</v>
      </c>
      <c r="V109" s="18">
        <f>SUM(Table1[[#This Row],[DB]:[EH]])</f>
        <v>0</v>
      </c>
      <c r="W109" s="3"/>
      <c r="X109" s="3"/>
      <c r="Y109" s="3"/>
      <c r="Z109" s="3"/>
      <c r="AC109" s="3"/>
      <c r="AD109" s="8"/>
      <c r="AE109" s="8"/>
      <c r="AF109" s="3"/>
      <c r="AG109" s="3"/>
      <c r="AH109" s="3"/>
      <c r="AI109" s="3"/>
      <c r="AJ109" s="3"/>
      <c r="AK109" s="17">
        <f>SUBTOTAL(9,Table1[[#This Row],[Online Learning]:[Other]])</f>
        <v>0</v>
      </c>
      <c r="AL109" s="17"/>
      <c r="AM109" s="24"/>
      <c r="AN109" s="24"/>
      <c r="AO109" s="24"/>
      <c r="AP109" s="24"/>
      <c r="AQ109" s="24"/>
      <c r="AR109" s="24"/>
      <c r="AS109" s="46"/>
      <c r="AT109" s="47"/>
      <c r="AU109" s="14">
        <f>SUM(Table1[[#This Row],[*Learning Model (Daniel)]:[Other2]])</f>
        <v>0</v>
      </c>
      <c r="AV109" s="3"/>
      <c r="AW109" s="3"/>
      <c r="AX109" s="3"/>
    </row>
    <row r="110" spans="1:50" x14ac:dyDescent="0.25">
      <c r="A110" s="21" t="s">
        <v>203</v>
      </c>
      <c r="B110" s="8" t="s">
        <v>5</v>
      </c>
      <c r="C110" s="13" t="s">
        <v>202</v>
      </c>
      <c r="D110" s="13" t="s">
        <v>270</v>
      </c>
      <c r="E110" s="13" t="s">
        <v>541</v>
      </c>
      <c r="F110" s="13"/>
      <c r="G110" s="3" t="s">
        <v>527</v>
      </c>
      <c r="H110" s="3"/>
      <c r="I110" s="3"/>
      <c r="J110" s="4"/>
      <c r="K110" s="4"/>
      <c r="L110" s="11"/>
      <c r="M110" s="4"/>
      <c r="N110" s="3"/>
      <c r="O110" s="3"/>
      <c r="P110" s="3"/>
      <c r="Q110" s="3"/>
      <c r="R110" s="3"/>
      <c r="S110" s="19"/>
      <c r="T110" s="19"/>
      <c r="U110" s="2">
        <f>DATEDIF(Table1[[#This Row],[Start Date*]],Table1[[#This Row],[End Date*]],"d")</f>
        <v>0</v>
      </c>
      <c r="V110" s="18">
        <f>SUM(Table1[[#This Row],[DB]:[EH]])</f>
        <v>0</v>
      </c>
      <c r="W110" s="3"/>
      <c r="X110" s="3"/>
      <c r="Y110" s="3"/>
      <c r="Z110" s="3"/>
      <c r="AC110" s="3"/>
      <c r="AD110" s="8"/>
      <c r="AE110" s="8"/>
      <c r="AF110" s="3"/>
      <c r="AG110" s="3"/>
      <c r="AH110" s="3"/>
      <c r="AI110" s="3"/>
      <c r="AJ110" s="3"/>
      <c r="AK110" s="17">
        <f>SUBTOTAL(9,Table1[[#This Row],[Online Learning]:[Other]])</f>
        <v>0</v>
      </c>
      <c r="AL110" s="17"/>
      <c r="AM110" s="24"/>
      <c r="AN110" s="24"/>
      <c r="AO110" s="24"/>
      <c r="AP110" s="24"/>
      <c r="AQ110" s="24"/>
      <c r="AR110" s="24"/>
      <c r="AS110" s="46"/>
      <c r="AT110" s="47"/>
      <c r="AU110" s="14">
        <f>SUM(Table1[[#This Row],[*Learning Model (Daniel)]:[Other2]])</f>
        <v>0</v>
      </c>
      <c r="AV110" s="3"/>
      <c r="AW110" s="3"/>
      <c r="AX110" s="3"/>
    </row>
    <row r="111" spans="1:50" x14ac:dyDescent="0.25">
      <c r="A111" s="21" t="s">
        <v>201</v>
      </c>
      <c r="B111" s="8" t="s">
        <v>5</v>
      </c>
      <c r="C111" s="13" t="s">
        <v>200</v>
      </c>
      <c r="D111" s="13" t="s">
        <v>270</v>
      </c>
      <c r="E111" s="13" t="s">
        <v>541</v>
      </c>
      <c r="F111" s="13"/>
      <c r="G111" s="3" t="s">
        <v>526</v>
      </c>
      <c r="H111" s="3"/>
      <c r="I111" s="3"/>
      <c r="J111" s="4"/>
      <c r="K111" s="4"/>
      <c r="L111" s="11"/>
      <c r="M111" s="4"/>
      <c r="N111" s="3"/>
      <c r="O111" s="3"/>
      <c r="P111" s="3"/>
      <c r="Q111" s="3"/>
      <c r="R111" s="3"/>
      <c r="S111" s="19"/>
      <c r="T111" s="19"/>
      <c r="U111" s="2">
        <f>DATEDIF(Table1[[#This Row],[Start Date*]],Table1[[#This Row],[End Date*]],"d")</f>
        <v>0</v>
      </c>
      <c r="V111" s="18">
        <f>SUM(Table1[[#This Row],[DB]:[EH]])</f>
        <v>0</v>
      </c>
      <c r="W111" s="3"/>
      <c r="X111" s="3"/>
      <c r="Y111" s="3"/>
      <c r="Z111" s="3"/>
      <c r="AC111" s="3"/>
      <c r="AD111" s="8"/>
      <c r="AE111" s="8"/>
      <c r="AF111" s="3"/>
      <c r="AG111" s="3"/>
      <c r="AH111" s="3"/>
      <c r="AI111" s="3"/>
      <c r="AJ111" s="3"/>
      <c r="AK111" s="17">
        <f>SUBTOTAL(9,Table1[[#This Row],[Online Learning]:[Other]])</f>
        <v>0</v>
      </c>
      <c r="AL111" s="17"/>
      <c r="AM111" s="24"/>
      <c r="AN111" s="24"/>
      <c r="AO111" s="24"/>
      <c r="AP111" s="24"/>
      <c r="AQ111" s="24"/>
      <c r="AR111" s="24"/>
      <c r="AS111" s="46"/>
      <c r="AT111" s="47"/>
      <c r="AU111" s="14">
        <f>SUM(Table1[[#This Row],[*Learning Model (Daniel)]:[Other2]])</f>
        <v>0</v>
      </c>
      <c r="AV111" s="3"/>
      <c r="AW111" s="3"/>
      <c r="AX111" s="3"/>
    </row>
    <row r="112" spans="1:50" x14ac:dyDescent="0.25">
      <c r="A112" s="21" t="s">
        <v>199</v>
      </c>
      <c r="B112" s="8" t="s">
        <v>5</v>
      </c>
      <c r="C112" s="13" t="s">
        <v>198</v>
      </c>
      <c r="D112" s="13" t="s">
        <v>270</v>
      </c>
      <c r="E112" s="13" t="s">
        <v>541</v>
      </c>
      <c r="F112" s="13"/>
      <c r="G112" s="3" t="s">
        <v>525</v>
      </c>
      <c r="H112" s="3"/>
      <c r="I112" s="3"/>
      <c r="J112" s="4"/>
      <c r="K112" s="4"/>
      <c r="L112" s="11"/>
      <c r="M112" s="4"/>
      <c r="N112" s="3"/>
      <c r="O112" s="3"/>
      <c r="P112" s="3"/>
      <c r="Q112" s="3"/>
      <c r="R112" s="3"/>
      <c r="S112" s="19"/>
      <c r="T112" s="19"/>
      <c r="U112" s="2">
        <f>DATEDIF(Table1[[#This Row],[Start Date*]],Table1[[#This Row],[End Date*]],"d")</f>
        <v>0</v>
      </c>
      <c r="V112" s="18">
        <f>SUM(Table1[[#This Row],[DB]:[EH]])</f>
        <v>0</v>
      </c>
      <c r="W112" s="3"/>
      <c r="X112" s="3"/>
      <c r="Y112" s="3"/>
      <c r="Z112" s="3"/>
      <c r="AC112" s="3"/>
      <c r="AD112" s="8"/>
      <c r="AE112" s="8"/>
      <c r="AF112" s="3"/>
      <c r="AG112" s="3"/>
      <c r="AH112" s="3"/>
      <c r="AI112" s="3"/>
      <c r="AJ112" s="3"/>
      <c r="AK112" s="17">
        <f>SUBTOTAL(9,Table1[[#This Row],[Online Learning]:[Other]])</f>
        <v>0</v>
      </c>
      <c r="AL112" s="17"/>
      <c r="AM112" s="24"/>
      <c r="AN112" s="24"/>
      <c r="AO112" s="24"/>
      <c r="AP112" s="24"/>
      <c r="AQ112" s="24"/>
      <c r="AR112" s="24"/>
      <c r="AS112" s="46"/>
      <c r="AT112" s="47"/>
      <c r="AU112" s="14">
        <f>SUM(Table1[[#This Row],[*Learning Model (Daniel)]:[Other2]])</f>
        <v>0</v>
      </c>
      <c r="AV112" s="3"/>
      <c r="AW112" s="3"/>
      <c r="AX112" s="3"/>
    </row>
    <row r="113" spans="1:50" x14ac:dyDescent="0.25">
      <c r="A113" s="21" t="s">
        <v>197</v>
      </c>
      <c r="B113" s="8" t="s">
        <v>5</v>
      </c>
      <c r="C113" s="13" t="s">
        <v>196</v>
      </c>
      <c r="D113" s="13" t="s">
        <v>270</v>
      </c>
      <c r="E113" s="13" t="s">
        <v>541</v>
      </c>
      <c r="F113" s="13"/>
      <c r="G113" s="3" t="s">
        <v>524</v>
      </c>
      <c r="H113" s="3"/>
      <c r="I113" s="3"/>
      <c r="J113" s="4"/>
      <c r="K113" s="4"/>
      <c r="L113" s="11"/>
      <c r="M113" s="4"/>
      <c r="N113" s="3"/>
      <c r="O113" s="3"/>
      <c r="P113" s="3"/>
      <c r="Q113" s="3"/>
      <c r="R113" s="3"/>
      <c r="S113" s="19"/>
      <c r="T113" s="19"/>
      <c r="U113" s="2">
        <f>DATEDIF(Table1[[#This Row],[Start Date*]],Table1[[#This Row],[End Date*]],"d")</f>
        <v>0</v>
      </c>
      <c r="V113" s="18">
        <f>SUM(Table1[[#This Row],[DB]:[EH]])</f>
        <v>0</v>
      </c>
      <c r="W113" s="3"/>
      <c r="X113" s="3"/>
      <c r="Y113" s="3"/>
      <c r="Z113" s="3"/>
      <c r="AC113" s="3"/>
      <c r="AD113" s="8"/>
      <c r="AE113" s="8"/>
      <c r="AF113" s="3"/>
      <c r="AG113" s="3"/>
      <c r="AH113" s="3"/>
      <c r="AI113" s="3"/>
      <c r="AJ113" s="3"/>
      <c r="AK113" s="17">
        <f>SUBTOTAL(9,Table1[[#This Row],[Online Learning]:[Other]])</f>
        <v>0</v>
      </c>
      <c r="AL113" s="17"/>
      <c r="AM113" s="24"/>
      <c r="AN113" s="24"/>
      <c r="AO113" s="24"/>
      <c r="AP113" s="24"/>
      <c r="AQ113" s="24"/>
      <c r="AR113" s="24"/>
      <c r="AS113" s="46"/>
      <c r="AT113" s="47"/>
      <c r="AU113" s="14">
        <f>SUM(Table1[[#This Row],[*Learning Model (Daniel)]:[Other2]])</f>
        <v>0</v>
      </c>
      <c r="AV113" s="3"/>
      <c r="AW113" s="3"/>
      <c r="AX113" s="3"/>
    </row>
    <row r="114" spans="1:50" x14ac:dyDescent="0.25">
      <c r="A114" s="21" t="s">
        <v>80</v>
      </c>
      <c r="B114" s="13" t="s">
        <v>5</v>
      </c>
      <c r="C114" s="13"/>
      <c r="D114" s="13"/>
      <c r="E114" s="13"/>
      <c r="F114" s="13"/>
      <c r="G114" s="20" t="s">
        <v>4</v>
      </c>
      <c r="H114" s="3" t="s">
        <v>3</v>
      </c>
      <c r="I114" s="3" t="s">
        <v>22</v>
      </c>
      <c r="J114" s="4" t="s">
        <v>65</v>
      </c>
      <c r="K114" s="4"/>
      <c r="L114" s="12" t="s">
        <v>24</v>
      </c>
      <c r="M114" s="4" t="s">
        <v>53</v>
      </c>
      <c r="N114" s="3">
        <v>50</v>
      </c>
      <c r="O114" s="3"/>
      <c r="P114" s="3" t="s">
        <v>35</v>
      </c>
      <c r="Q114" s="3"/>
      <c r="R114" s="3"/>
      <c r="S114" s="19"/>
      <c r="T114" s="19"/>
      <c r="U114" s="2">
        <f>DATEDIF(Table1[[#This Row],[Start Date*]],Table1[[#This Row],[End Date*]],"d")</f>
        <v>0</v>
      </c>
      <c r="V114" s="18">
        <f>SUM(Table1[[#This Row],[DB]:[EH]])</f>
        <v>0</v>
      </c>
      <c r="W114" s="3"/>
      <c r="X114" s="3"/>
      <c r="Y114" s="3"/>
      <c r="Z114" s="3"/>
      <c r="AC114" s="3"/>
      <c r="AD114" s="12"/>
      <c r="AE114" s="12"/>
      <c r="AF114" s="3">
        <v>3</v>
      </c>
      <c r="AG114" s="3">
        <v>4</v>
      </c>
      <c r="AH114" s="3">
        <v>3</v>
      </c>
      <c r="AI114" s="3">
        <v>2</v>
      </c>
      <c r="AJ114" s="3">
        <v>0</v>
      </c>
      <c r="AK114" s="17">
        <f>SUBTOTAL(9,Table1[[#This Row],[Online Learning]:[Other]])</f>
        <v>12</v>
      </c>
      <c r="AL114" s="17"/>
      <c r="AM114" s="24"/>
      <c r="AN114" s="24"/>
      <c r="AO114" s="24"/>
      <c r="AP114" s="24"/>
      <c r="AQ114" s="24"/>
      <c r="AR114" s="24"/>
      <c r="AS114" s="24"/>
      <c r="AT114" s="24"/>
      <c r="AU114" s="14">
        <f>SUM(Table1[[#This Row],[*Learning Model (Daniel)]:[Other2]])</f>
        <v>0</v>
      </c>
      <c r="AV114" s="3"/>
      <c r="AW114" s="3"/>
      <c r="AX114" s="3"/>
    </row>
    <row r="115" spans="1:50" x14ac:dyDescent="0.25">
      <c r="A115" s="21" t="s">
        <v>79</v>
      </c>
      <c r="B115" s="8"/>
      <c r="C115" s="8"/>
      <c r="D115" s="8"/>
      <c r="E115" s="8"/>
      <c r="F115" s="8"/>
      <c r="H115" s="3" t="s">
        <v>72</v>
      </c>
      <c r="I115" s="3" t="s">
        <v>71</v>
      </c>
      <c r="J115" s="4"/>
      <c r="K115" s="4"/>
      <c r="L115" s="12"/>
      <c r="M115" s="4"/>
      <c r="N115" s="3"/>
      <c r="O115" s="3"/>
      <c r="P115" s="3"/>
      <c r="Q115" s="3"/>
      <c r="R115" s="3"/>
      <c r="S115" s="19"/>
      <c r="T115" s="19"/>
      <c r="U115" s="2">
        <f>DATEDIF(Table1[[#This Row],[Start Date*]],Table1[[#This Row],[End Date*]],"d")</f>
        <v>0</v>
      </c>
      <c r="V115" s="18">
        <f>SUM(Table1[[#This Row],[DB]:[EH]])</f>
        <v>0</v>
      </c>
      <c r="W115" s="3"/>
      <c r="X115" s="3"/>
      <c r="Y115" s="3"/>
      <c r="Z115" s="3"/>
      <c r="AC115" s="3"/>
      <c r="AD115" s="12"/>
      <c r="AE115" s="12"/>
      <c r="AF115" s="3">
        <v>5</v>
      </c>
      <c r="AG115" s="3">
        <v>1</v>
      </c>
      <c r="AH115" s="3">
        <v>1</v>
      </c>
      <c r="AI115" s="3">
        <v>1</v>
      </c>
      <c r="AJ115" s="3">
        <v>0</v>
      </c>
      <c r="AK115" s="17">
        <f>SUBTOTAL(9,Table1[[#This Row],[Online Learning]:[Other]])</f>
        <v>8</v>
      </c>
      <c r="AL115" s="17"/>
      <c r="AM115" s="24"/>
      <c r="AN115" s="24"/>
      <c r="AO115" s="24"/>
      <c r="AP115" s="24"/>
      <c r="AQ115" s="24"/>
      <c r="AR115" s="24"/>
      <c r="AS115" s="24"/>
      <c r="AT115" s="24"/>
      <c r="AU115" s="14">
        <f>SUM(Table1[[#This Row],[*Learning Model (Daniel)]:[Other2]])</f>
        <v>0</v>
      </c>
      <c r="AV115" s="3"/>
      <c r="AW115" s="3"/>
      <c r="AX115" s="3"/>
    </row>
    <row r="116" spans="1:50" x14ac:dyDescent="0.25">
      <c r="A116" s="21" t="s">
        <v>78</v>
      </c>
      <c r="B116" s="13" t="s">
        <v>5</v>
      </c>
      <c r="C116" s="13"/>
      <c r="D116" s="13"/>
      <c r="E116" s="13"/>
      <c r="F116" s="13"/>
      <c r="G116" s="20" t="s">
        <v>4</v>
      </c>
      <c r="H116" s="3" t="s">
        <v>3</v>
      </c>
      <c r="I116" s="3" t="s">
        <v>22</v>
      </c>
      <c r="J116" s="4" t="s">
        <v>21</v>
      </c>
      <c r="K116" s="4"/>
      <c r="L116" s="12"/>
      <c r="M116" s="4"/>
      <c r="N116" s="3">
        <v>100</v>
      </c>
      <c r="O116" s="3"/>
      <c r="P116" s="3" t="s">
        <v>35</v>
      </c>
      <c r="Q116" s="3" t="s">
        <v>19</v>
      </c>
      <c r="R116" s="3">
        <v>2016</v>
      </c>
      <c r="S116" s="19">
        <v>42644</v>
      </c>
      <c r="T116" s="19">
        <v>42705</v>
      </c>
      <c r="U116" s="2">
        <f>DATEDIF(Table1[[#This Row],[Start Date*]],Table1[[#This Row],[End Date*]],"d")</f>
        <v>61</v>
      </c>
      <c r="V116" s="25">
        <f>SUM(Table1[[#This Row],[DB]:[EH]])</f>
        <v>50</v>
      </c>
      <c r="W116" s="3">
        <v>20</v>
      </c>
      <c r="X116" s="3">
        <v>30</v>
      </c>
      <c r="Y116" s="3"/>
      <c r="Z116" s="3"/>
      <c r="AC116" s="3"/>
      <c r="AD116" s="12"/>
      <c r="AE116" s="12"/>
      <c r="AF116" s="3">
        <v>3</v>
      </c>
      <c r="AG116" s="3">
        <v>3</v>
      </c>
      <c r="AH116" s="3">
        <v>3</v>
      </c>
      <c r="AI116" s="3">
        <v>1</v>
      </c>
      <c r="AJ116" s="3">
        <v>0</v>
      </c>
      <c r="AK116" s="17">
        <f>SUBTOTAL(9,Table1[[#This Row],[Online Learning]:[Other]])</f>
        <v>10</v>
      </c>
      <c r="AL116" s="17"/>
      <c r="AM116" s="24"/>
      <c r="AN116" s="24"/>
      <c r="AO116" s="24"/>
      <c r="AP116" s="24"/>
      <c r="AQ116" s="24"/>
      <c r="AR116" s="24"/>
      <c r="AS116" s="24"/>
      <c r="AT116" s="24"/>
      <c r="AU116" s="14">
        <f>SUM(Table1[[#This Row],[*Learning Model (Daniel)]:[Other2]])</f>
        <v>0</v>
      </c>
      <c r="AV116" s="3"/>
      <c r="AW116" s="3"/>
      <c r="AX116" s="3"/>
    </row>
    <row r="117" spans="1:50" x14ac:dyDescent="0.25">
      <c r="A117" s="21" t="s">
        <v>77</v>
      </c>
      <c r="B117" s="13" t="s">
        <v>5</v>
      </c>
      <c r="C117" s="13"/>
      <c r="D117" s="13"/>
      <c r="E117" s="13"/>
      <c r="F117" s="13"/>
      <c r="G117" s="20" t="s">
        <v>4</v>
      </c>
      <c r="H117" s="3" t="s">
        <v>3</v>
      </c>
      <c r="I117" s="3" t="s">
        <v>22</v>
      </c>
      <c r="J117" s="4" t="s">
        <v>46</v>
      </c>
      <c r="K117" s="4"/>
      <c r="L117" s="12" t="s">
        <v>12</v>
      </c>
      <c r="M117" s="4" t="s">
        <v>53</v>
      </c>
      <c r="N117" s="3">
        <v>50</v>
      </c>
      <c r="O117" s="3"/>
      <c r="P117" s="3" t="s">
        <v>76</v>
      </c>
      <c r="Q117" s="3" t="s">
        <v>55</v>
      </c>
      <c r="R117" s="3">
        <v>2017</v>
      </c>
      <c r="S117" s="19">
        <v>42826</v>
      </c>
      <c r="T117" s="19">
        <v>42887</v>
      </c>
      <c r="U117" s="2">
        <f>DATEDIF(Table1[[#This Row],[Start Date*]],Table1[[#This Row],[End Date*]],"d")</f>
        <v>61</v>
      </c>
      <c r="V117" s="18">
        <f>SUM(Table1[[#This Row],[DB]:[EH]])</f>
        <v>100</v>
      </c>
      <c r="W117" s="3"/>
      <c r="X117" s="3">
        <v>100</v>
      </c>
      <c r="Y117" s="3"/>
      <c r="Z117" s="3"/>
      <c r="AC117" s="3"/>
      <c r="AD117" s="12"/>
      <c r="AE117" s="12"/>
      <c r="AF117" s="3">
        <v>1</v>
      </c>
      <c r="AG117" s="3">
        <v>2</v>
      </c>
      <c r="AH117" s="3">
        <v>5</v>
      </c>
      <c r="AI117" s="3">
        <v>0</v>
      </c>
      <c r="AJ117" s="3">
        <v>0</v>
      </c>
      <c r="AK117" s="17">
        <f>SUBTOTAL(9,Table1[[#This Row],[Online Learning]:[Other]])</f>
        <v>8</v>
      </c>
      <c r="AL117" s="17"/>
      <c r="AM117" s="24"/>
      <c r="AN117" s="24"/>
      <c r="AO117" s="24"/>
      <c r="AP117" s="24"/>
      <c r="AQ117" s="24"/>
      <c r="AR117" s="24"/>
      <c r="AS117" s="24"/>
      <c r="AT117" s="24"/>
      <c r="AU117" s="14">
        <f>SUM(Table1[[#This Row],[*Learning Model (Daniel)]:[Other2]])</f>
        <v>0</v>
      </c>
      <c r="AV117" s="3"/>
      <c r="AW117" s="3"/>
      <c r="AX117" s="3">
        <v>5</v>
      </c>
    </row>
    <row r="118" spans="1:50" x14ac:dyDescent="0.25">
      <c r="A118" s="21" t="s">
        <v>75</v>
      </c>
      <c r="B118" s="8"/>
      <c r="C118" s="8"/>
      <c r="D118" s="8"/>
      <c r="E118" s="8"/>
      <c r="F118" s="8"/>
      <c r="H118" s="3" t="s">
        <v>72</v>
      </c>
      <c r="I118" s="3" t="s">
        <v>71</v>
      </c>
      <c r="J118" s="4"/>
      <c r="K118" s="4"/>
      <c r="L118" s="12"/>
      <c r="M118" s="4"/>
      <c r="N118" s="3">
        <v>0</v>
      </c>
      <c r="O118" s="3"/>
      <c r="P118" s="3" t="s">
        <v>74</v>
      </c>
      <c r="Q118" s="3"/>
      <c r="R118" s="3"/>
      <c r="S118" s="19"/>
      <c r="T118" s="19"/>
      <c r="U118" s="2">
        <f>DATEDIF(Table1[[#This Row],[Start Date*]],Table1[[#This Row],[End Date*]],"d")</f>
        <v>0</v>
      </c>
      <c r="V118" s="18">
        <f>SUM(Table1[[#This Row],[DB]:[EH]])</f>
        <v>0</v>
      </c>
      <c r="W118" s="3"/>
      <c r="X118" s="3"/>
      <c r="Y118" s="3"/>
      <c r="Z118" s="3"/>
      <c r="AC118" s="3"/>
      <c r="AD118" s="12"/>
      <c r="AE118" s="12"/>
      <c r="AF118" s="3">
        <v>4</v>
      </c>
      <c r="AG118" s="3">
        <v>0</v>
      </c>
      <c r="AH118" s="3">
        <v>0</v>
      </c>
      <c r="AI118" s="3">
        <v>0</v>
      </c>
      <c r="AJ118" s="3">
        <v>0</v>
      </c>
      <c r="AK118" s="17">
        <f>SUBTOTAL(9,Table1[[#This Row],[Online Learning]:[Other]])</f>
        <v>4</v>
      </c>
      <c r="AL118" s="17"/>
      <c r="AM118" s="24"/>
      <c r="AN118" s="24"/>
      <c r="AO118" s="24"/>
      <c r="AP118" s="24"/>
      <c r="AQ118" s="24"/>
      <c r="AR118" s="24"/>
      <c r="AS118" s="24"/>
      <c r="AT118" s="24"/>
      <c r="AU118" s="14">
        <f>SUM(Table1[[#This Row],[*Learning Model (Daniel)]:[Other2]])</f>
        <v>0</v>
      </c>
      <c r="AV118" s="3"/>
      <c r="AW118" s="3"/>
      <c r="AX118" s="3"/>
    </row>
    <row r="119" spans="1:50" x14ac:dyDescent="0.25">
      <c r="A119" s="21" t="s">
        <v>73</v>
      </c>
      <c r="B119" s="8"/>
      <c r="C119" s="8"/>
      <c r="D119" s="8"/>
      <c r="E119" s="8"/>
      <c r="F119" s="8"/>
      <c r="H119" s="3" t="s">
        <v>72</v>
      </c>
      <c r="I119" s="3" t="s">
        <v>71</v>
      </c>
      <c r="J119" s="4" t="s">
        <v>46</v>
      </c>
      <c r="K119" s="4"/>
      <c r="L119" s="12"/>
      <c r="M119" s="4"/>
      <c r="N119" s="3">
        <v>80</v>
      </c>
      <c r="O119" s="3"/>
      <c r="P119" s="3" t="s">
        <v>35</v>
      </c>
      <c r="Q119" s="3" t="s">
        <v>34</v>
      </c>
      <c r="R119" s="3">
        <v>2017</v>
      </c>
      <c r="S119" s="19">
        <v>42767</v>
      </c>
      <c r="T119" s="19">
        <v>42856</v>
      </c>
      <c r="U119" s="2">
        <f>DATEDIF(Table1[[#This Row],[Start Date*]],Table1[[#This Row],[End Date*]],"d")</f>
        <v>89</v>
      </c>
      <c r="V119" s="18">
        <f>SUM(Table1[[#This Row],[DB]:[EH]])</f>
        <v>50</v>
      </c>
      <c r="W119" s="3"/>
      <c r="X119" s="3"/>
      <c r="Y119" s="3"/>
      <c r="Z119" s="3">
        <v>50</v>
      </c>
      <c r="AC119" s="3"/>
      <c r="AD119" s="12"/>
      <c r="AE119" s="12"/>
      <c r="AF119" s="3">
        <v>3</v>
      </c>
      <c r="AG119" s="3">
        <v>3</v>
      </c>
      <c r="AH119" s="3">
        <v>3</v>
      </c>
      <c r="AI119" s="3">
        <v>3</v>
      </c>
      <c r="AJ119" s="3">
        <v>0</v>
      </c>
      <c r="AK119" s="17">
        <f>SUBTOTAL(9,Table1[[#This Row],[Online Learning]:[Other]])</f>
        <v>12</v>
      </c>
      <c r="AL119" s="17"/>
      <c r="AM119" s="24"/>
      <c r="AN119" s="24"/>
      <c r="AO119" s="24"/>
      <c r="AP119" s="24"/>
      <c r="AQ119" s="24"/>
      <c r="AR119" s="24"/>
      <c r="AS119" s="24"/>
      <c r="AT119" s="24"/>
      <c r="AU119" s="14">
        <f>SUM(Table1[[#This Row],[*Learning Model (Daniel)]:[Other2]])</f>
        <v>0</v>
      </c>
      <c r="AV119" s="3"/>
      <c r="AW119" s="3"/>
      <c r="AX119" s="3"/>
    </row>
    <row r="120" spans="1:50" x14ac:dyDescent="0.25">
      <c r="A120" s="21" t="s">
        <v>70</v>
      </c>
      <c r="B120" s="13" t="s">
        <v>5</v>
      </c>
      <c r="C120" s="13"/>
      <c r="D120" s="13"/>
      <c r="E120" s="13"/>
      <c r="F120" s="13"/>
      <c r="G120" s="20" t="s">
        <v>4</v>
      </c>
      <c r="H120" s="3" t="s">
        <v>3</v>
      </c>
      <c r="I120" s="3" t="s">
        <v>22</v>
      </c>
      <c r="J120" s="4" t="s">
        <v>21</v>
      </c>
      <c r="K120" s="4"/>
      <c r="L120" s="12"/>
      <c r="M120" s="4"/>
      <c r="N120" s="3">
        <v>90</v>
      </c>
      <c r="O120" s="3"/>
      <c r="P120" s="3" t="s">
        <v>35</v>
      </c>
      <c r="Q120" s="3" t="s">
        <v>34</v>
      </c>
      <c r="R120" s="3">
        <v>2017</v>
      </c>
      <c r="S120" s="19">
        <v>42767</v>
      </c>
      <c r="T120" s="19">
        <v>42856</v>
      </c>
      <c r="U120" s="2">
        <f>DATEDIF(Table1[[#This Row],[Start Date*]],Table1[[#This Row],[End Date*]],"d")</f>
        <v>89</v>
      </c>
      <c r="V120" s="18">
        <f>SUM(Table1[[#This Row],[DB]:[EH]])</f>
        <v>80</v>
      </c>
      <c r="W120" s="3"/>
      <c r="X120" s="3">
        <v>80</v>
      </c>
      <c r="Y120" s="3"/>
      <c r="Z120" s="3"/>
      <c r="AC120" s="3"/>
      <c r="AD120" s="12"/>
      <c r="AE120" s="12"/>
      <c r="AF120" s="3"/>
      <c r="AG120" s="3"/>
      <c r="AH120" s="3"/>
      <c r="AI120" s="3"/>
      <c r="AJ120" s="3"/>
      <c r="AK120" s="17">
        <f>SUBTOTAL(9,Table1[[#This Row],[Online Learning]:[Other]])</f>
        <v>0</v>
      </c>
      <c r="AL120" s="17"/>
      <c r="AM120" s="24"/>
      <c r="AN120" s="24"/>
      <c r="AO120" s="24"/>
      <c r="AP120" s="24"/>
      <c r="AQ120" s="24"/>
      <c r="AR120" s="24"/>
      <c r="AS120" s="24"/>
      <c r="AT120" s="24"/>
      <c r="AU120" s="14">
        <f>SUM(Table1[[#This Row],[*Learning Model (Daniel)]:[Other2]])</f>
        <v>0</v>
      </c>
      <c r="AV120" s="3"/>
      <c r="AW120" s="3"/>
      <c r="AX120" s="3"/>
    </row>
    <row r="121" spans="1:50" x14ac:dyDescent="0.25">
      <c r="A121" s="21" t="s">
        <v>69</v>
      </c>
      <c r="B121" s="13" t="s">
        <v>5</v>
      </c>
      <c r="C121" s="13"/>
      <c r="D121" s="13"/>
      <c r="E121" s="13"/>
      <c r="F121" s="13"/>
      <c r="G121" s="20" t="s">
        <v>4</v>
      </c>
      <c r="H121" s="3" t="s">
        <v>3</v>
      </c>
      <c r="I121" s="3" t="s">
        <v>22</v>
      </c>
      <c r="J121" s="4" t="s">
        <v>46</v>
      </c>
      <c r="K121" s="4"/>
      <c r="L121" s="12" t="s">
        <v>12</v>
      </c>
      <c r="M121" s="4" t="s">
        <v>58</v>
      </c>
      <c r="N121" s="3">
        <v>60</v>
      </c>
      <c r="O121" s="3"/>
      <c r="P121" s="3"/>
      <c r="Q121" s="3" t="s">
        <v>51</v>
      </c>
      <c r="R121" s="3">
        <v>2017</v>
      </c>
      <c r="S121" s="19">
        <v>42736</v>
      </c>
      <c r="T121" s="19">
        <v>42948</v>
      </c>
      <c r="U121" s="2">
        <f>DATEDIF(Table1[[#This Row],[Start Date*]],Table1[[#This Row],[End Date*]],"d")</f>
        <v>212</v>
      </c>
      <c r="V121" s="18">
        <f>SUM(Table1[[#This Row],[DB]:[EH]])</f>
        <v>100</v>
      </c>
      <c r="W121" s="3"/>
      <c r="X121" s="3">
        <v>100</v>
      </c>
      <c r="Y121" s="3"/>
      <c r="Z121" s="3"/>
      <c r="AC121" s="3"/>
      <c r="AD121" s="12"/>
      <c r="AE121" s="12"/>
      <c r="AF121" s="3"/>
      <c r="AG121" s="3"/>
      <c r="AH121" s="3"/>
      <c r="AI121" s="3"/>
      <c r="AJ121" s="3"/>
      <c r="AK121" s="17">
        <f>SUBTOTAL(9,Table1[[#This Row],[Online Learning]:[Other]])</f>
        <v>0</v>
      </c>
      <c r="AL121" s="17"/>
      <c r="AM121" s="24"/>
      <c r="AN121" s="24"/>
      <c r="AO121" s="24"/>
      <c r="AP121" s="24"/>
      <c r="AQ121" s="24"/>
      <c r="AR121" s="24"/>
      <c r="AS121" s="24"/>
      <c r="AT121" s="24"/>
      <c r="AU121" s="14">
        <f>SUM(Table1[[#This Row],[*Learning Model (Daniel)]:[Other2]])</f>
        <v>0</v>
      </c>
      <c r="AV121" s="3"/>
      <c r="AW121" s="3"/>
      <c r="AX121" s="3"/>
    </row>
    <row r="122" spans="1:50" x14ac:dyDescent="0.25">
      <c r="A122" s="21" t="s">
        <v>68</v>
      </c>
      <c r="B122" s="13" t="s">
        <v>5</v>
      </c>
      <c r="C122" s="13"/>
      <c r="D122" s="13"/>
      <c r="E122" s="13"/>
      <c r="F122" s="13"/>
      <c r="G122" s="20" t="s">
        <v>4</v>
      </c>
      <c r="H122" s="3" t="s">
        <v>3</v>
      </c>
      <c r="I122" s="3" t="s">
        <v>22</v>
      </c>
      <c r="J122" s="4" t="s">
        <v>21</v>
      </c>
      <c r="K122" s="4"/>
      <c r="L122" s="12"/>
      <c r="M122" s="4"/>
      <c r="N122" s="3">
        <v>100</v>
      </c>
      <c r="O122" s="3"/>
      <c r="P122" s="3" t="s">
        <v>35</v>
      </c>
      <c r="Q122" s="3" t="s">
        <v>19</v>
      </c>
      <c r="R122" s="3">
        <v>2016</v>
      </c>
      <c r="S122" s="19">
        <v>42644</v>
      </c>
      <c r="T122" s="19">
        <v>42736</v>
      </c>
      <c r="U122" s="2">
        <f>DATEDIF(Table1[[#This Row],[Start Date*]],Table1[[#This Row],[End Date*]],"d")</f>
        <v>92</v>
      </c>
      <c r="V122" s="18">
        <f>SUM(Table1[[#This Row],[DB]:[EH]])</f>
        <v>30</v>
      </c>
      <c r="W122" s="3"/>
      <c r="X122" s="3">
        <v>30</v>
      </c>
      <c r="Y122" s="3"/>
      <c r="Z122" s="3"/>
      <c r="AC122" s="3"/>
      <c r="AD122" s="12"/>
      <c r="AE122" s="12"/>
      <c r="AF122" s="3"/>
      <c r="AG122" s="3"/>
      <c r="AH122" s="3"/>
      <c r="AI122" s="3"/>
      <c r="AJ122" s="3"/>
      <c r="AK122" s="17">
        <f>SUBTOTAL(9,Table1[[#This Row],[Online Learning]:[Other]])</f>
        <v>0</v>
      </c>
      <c r="AL122" s="17"/>
      <c r="AM122" s="24"/>
      <c r="AN122" s="24"/>
      <c r="AO122" s="24"/>
      <c r="AP122" s="24"/>
      <c r="AQ122" s="24"/>
      <c r="AR122" s="24"/>
      <c r="AS122" s="24"/>
      <c r="AT122" s="24"/>
      <c r="AU122" s="14">
        <f>SUM(Table1[[#This Row],[*Learning Model (Daniel)]:[Other2]])</f>
        <v>0</v>
      </c>
      <c r="AV122" s="3"/>
      <c r="AW122" s="3"/>
      <c r="AX122" s="3"/>
    </row>
    <row r="123" spans="1:50" x14ac:dyDescent="0.25">
      <c r="A123" s="21" t="s">
        <v>67</v>
      </c>
      <c r="B123" s="13" t="s">
        <v>5</v>
      </c>
      <c r="C123" s="13"/>
      <c r="D123" s="13"/>
      <c r="E123" s="13"/>
      <c r="F123" s="13"/>
      <c r="G123" s="20" t="s">
        <v>4</v>
      </c>
      <c r="H123" s="3" t="s">
        <v>3</v>
      </c>
      <c r="I123" s="3" t="s">
        <v>22</v>
      </c>
      <c r="J123" s="4" t="s">
        <v>46</v>
      </c>
      <c r="K123" s="4"/>
      <c r="L123" s="12" t="s">
        <v>1</v>
      </c>
      <c r="M123" s="4" t="s">
        <v>58</v>
      </c>
      <c r="N123" s="3">
        <v>99</v>
      </c>
      <c r="O123" s="3"/>
      <c r="P123" s="3"/>
      <c r="Q123" s="3" t="s">
        <v>51</v>
      </c>
      <c r="R123" s="3">
        <v>2016</v>
      </c>
      <c r="S123" s="19">
        <v>42370</v>
      </c>
      <c r="T123" s="19">
        <v>42675</v>
      </c>
      <c r="U123" s="2">
        <f>DATEDIF(Table1[[#This Row],[Start Date*]],Table1[[#This Row],[End Date*]],"d")</f>
        <v>305</v>
      </c>
      <c r="V123" s="18">
        <f>SUM(Table1[[#This Row],[DB]:[EH]])</f>
        <v>30</v>
      </c>
      <c r="W123" s="3"/>
      <c r="X123" s="3">
        <v>30</v>
      </c>
      <c r="Y123" s="3"/>
      <c r="Z123" s="3"/>
      <c r="AC123" s="3"/>
      <c r="AD123" s="12"/>
      <c r="AE123" s="12"/>
      <c r="AF123" s="3"/>
      <c r="AG123" s="3"/>
      <c r="AH123" s="3"/>
      <c r="AI123" s="3"/>
      <c r="AJ123" s="3"/>
      <c r="AK123" s="17">
        <f>SUBTOTAL(9,Table1[[#This Row],[Online Learning]:[Other]])</f>
        <v>0</v>
      </c>
      <c r="AL123" s="17"/>
      <c r="AM123" s="24"/>
      <c r="AN123" s="24"/>
      <c r="AO123" s="24"/>
      <c r="AP123" s="24"/>
      <c r="AQ123" s="24"/>
      <c r="AR123" s="24"/>
      <c r="AS123" s="24"/>
      <c r="AT123" s="24"/>
      <c r="AU123" s="14">
        <f>SUM(Table1[[#This Row],[*Learning Model (Daniel)]:[Other2]])</f>
        <v>0</v>
      </c>
      <c r="AV123" s="3"/>
      <c r="AW123" s="3"/>
      <c r="AX123" s="3"/>
    </row>
    <row r="124" spans="1:50" x14ac:dyDescent="0.25">
      <c r="A124" s="21" t="s">
        <v>66</v>
      </c>
      <c r="B124" s="13" t="s">
        <v>5</v>
      </c>
      <c r="C124" s="13"/>
      <c r="D124" s="13"/>
      <c r="E124" s="13"/>
      <c r="F124" s="13"/>
      <c r="G124" s="20" t="s">
        <v>4</v>
      </c>
      <c r="H124" s="3" t="s">
        <v>3</v>
      </c>
      <c r="I124" s="3" t="s">
        <v>8</v>
      </c>
      <c r="J124" s="4" t="s">
        <v>65</v>
      </c>
      <c r="K124" s="4"/>
      <c r="L124" s="12" t="s">
        <v>24</v>
      </c>
      <c r="M124" s="4" t="s">
        <v>53</v>
      </c>
      <c r="N124" s="3">
        <v>40</v>
      </c>
      <c r="O124" s="3"/>
      <c r="P124" s="3" t="s">
        <v>64</v>
      </c>
      <c r="Q124" s="3"/>
      <c r="R124" s="3"/>
      <c r="S124" s="19"/>
      <c r="T124" s="3"/>
      <c r="U124" s="2">
        <f>DATEDIF(Table1[[#This Row],[Start Date*]],Table1[[#This Row],[End Date*]],"d")</f>
        <v>0</v>
      </c>
      <c r="V124" s="18">
        <f>SUM(Table1[[#This Row],[DB]:[EH]])</f>
        <v>0</v>
      </c>
      <c r="W124" s="3"/>
      <c r="X124" s="3"/>
      <c r="Y124" s="3"/>
      <c r="Z124" s="3"/>
      <c r="AC124" s="3"/>
      <c r="AD124" s="12"/>
      <c r="AE124" s="12"/>
      <c r="AF124" s="3"/>
      <c r="AG124" s="3"/>
      <c r="AH124" s="3"/>
      <c r="AI124" s="3"/>
      <c r="AJ124" s="3"/>
      <c r="AK124" s="17">
        <f>SUBTOTAL(9,Table1[[#This Row],[Online Learning]:[Other]])</f>
        <v>0</v>
      </c>
      <c r="AL124" s="17"/>
      <c r="AM124" s="24"/>
      <c r="AN124" s="24"/>
      <c r="AO124" s="24"/>
      <c r="AP124" s="24"/>
      <c r="AQ124" s="24"/>
      <c r="AR124" s="24"/>
      <c r="AS124" s="24"/>
      <c r="AT124" s="24"/>
      <c r="AU124" s="14">
        <f>SUM(Table1[[#This Row],[*Learning Model (Daniel)]:[Other2]])</f>
        <v>0</v>
      </c>
      <c r="AV124" s="3"/>
      <c r="AW124" s="3"/>
      <c r="AX124" s="3"/>
    </row>
    <row r="125" spans="1:50" x14ac:dyDescent="0.25">
      <c r="A125" s="21" t="s">
        <v>63</v>
      </c>
      <c r="B125" s="13" t="s">
        <v>5</v>
      </c>
      <c r="C125" s="13"/>
      <c r="D125" s="13"/>
      <c r="E125" s="13"/>
      <c r="F125" s="13"/>
      <c r="G125" s="20" t="s">
        <v>4</v>
      </c>
      <c r="H125" s="3" t="s">
        <v>3</v>
      </c>
      <c r="I125" s="3" t="s">
        <v>8</v>
      </c>
      <c r="J125" s="4" t="s">
        <v>46</v>
      </c>
      <c r="K125" s="4"/>
      <c r="L125" s="12" t="s">
        <v>24</v>
      </c>
      <c r="M125" s="4" t="s">
        <v>58</v>
      </c>
      <c r="N125" s="3">
        <v>99</v>
      </c>
      <c r="O125" s="3"/>
      <c r="P125" s="3"/>
      <c r="Q125" s="3" t="s">
        <v>62</v>
      </c>
      <c r="R125" s="3">
        <v>2016</v>
      </c>
      <c r="S125" s="19">
        <v>42675</v>
      </c>
      <c r="T125" s="19">
        <v>42856</v>
      </c>
      <c r="U125" s="2">
        <f>DATEDIF(Table1[[#This Row],[Start Date*]],Table1[[#This Row],[End Date*]],"d")</f>
        <v>181</v>
      </c>
      <c r="V125" s="18">
        <f>SUM(Table1[[#This Row],[DB]:[EH]])</f>
        <v>50</v>
      </c>
      <c r="W125" s="3">
        <v>50</v>
      </c>
      <c r="X125" s="3"/>
      <c r="Y125" s="3"/>
      <c r="Z125" s="3"/>
      <c r="AC125" s="3"/>
      <c r="AD125" s="12"/>
      <c r="AE125" s="12"/>
      <c r="AF125" s="3"/>
      <c r="AG125" s="3"/>
      <c r="AH125" s="3"/>
      <c r="AI125" s="3"/>
      <c r="AJ125" s="3"/>
      <c r="AK125" s="17">
        <f>SUBTOTAL(9,Table1[[#This Row],[Online Learning]:[Other]])</f>
        <v>0</v>
      </c>
      <c r="AL125" s="17"/>
      <c r="AM125" s="24"/>
      <c r="AN125" s="24"/>
      <c r="AO125" s="24"/>
      <c r="AP125" s="24"/>
      <c r="AQ125" s="24"/>
      <c r="AR125" s="24"/>
      <c r="AS125" s="24"/>
      <c r="AT125" s="24"/>
      <c r="AU125" s="14">
        <f>SUM(Table1[[#This Row],[*Learning Model (Daniel)]:[Other2]])</f>
        <v>0</v>
      </c>
      <c r="AV125" s="3"/>
      <c r="AW125" s="3"/>
      <c r="AX125" s="3"/>
    </row>
    <row r="126" spans="1:50" x14ac:dyDescent="0.25">
      <c r="A126" s="21" t="s">
        <v>61</v>
      </c>
      <c r="B126" s="13" t="s">
        <v>5</v>
      </c>
      <c r="C126" s="13"/>
      <c r="D126" s="13"/>
      <c r="E126" s="13"/>
      <c r="F126" s="13"/>
      <c r="G126" s="20" t="s">
        <v>4</v>
      </c>
      <c r="H126" s="3" t="s">
        <v>3</v>
      </c>
      <c r="I126" s="3" t="s">
        <v>8</v>
      </c>
      <c r="J126" s="4" t="s">
        <v>46</v>
      </c>
      <c r="K126" s="4"/>
      <c r="L126" s="12" t="s">
        <v>1</v>
      </c>
      <c r="M126" s="4" t="s">
        <v>58</v>
      </c>
      <c r="N126" s="3">
        <v>99</v>
      </c>
      <c r="O126" s="3"/>
      <c r="P126" s="3"/>
      <c r="Q126" s="3" t="s">
        <v>60</v>
      </c>
      <c r="R126" s="3">
        <v>2016</v>
      </c>
      <c r="S126" s="19">
        <v>42614</v>
      </c>
      <c r="T126" s="19">
        <v>42705</v>
      </c>
      <c r="U126" s="2">
        <f>DATEDIF(Table1[[#This Row],[Start Date*]],Table1[[#This Row],[End Date*]],"d")</f>
        <v>91</v>
      </c>
      <c r="V126" s="18">
        <f>SUM(Table1[[#This Row],[DB]:[EH]])</f>
        <v>40</v>
      </c>
      <c r="W126" s="3">
        <v>40</v>
      </c>
      <c r="X126" s="3"/>
      <c r="Y126" s="3"/>
      <c r="Z126" s="3"/>
      <c r="AC126" s="3"/>
      <c r="AD126" s="12"/>
      <c r="AE126" s="12"/>
      <c r="AF126" s="3"/>
      <c r="AG126" s="3"/>
      <c r="AH126" s="3"/>
      <c r="AI126" s="3"/>
      <c r="AJ126" s="3"/>
      <c r="AK126" s="17">
        <f>SUBTOTAL(9,Table1[[#This Row],[Online Learning]:[Other]])</f>
        <v>0</v>
      </c>
      <c r="AL126" s="17"/>
      <c r="AM126" s="24"/>
      <c r="AN126" s="24"/>
      <c r="AO126" s="24"/>
      <c r="AP126" s="24"/>
      <c r="AQ126" s="24"/>
      <c r="AR126" s="24"/>
      <c r="AS126" s="24"/>
      <c r="AT126" s="24"/>
      <c r="AU126" s="14">
        <f>SUM(Table1[[#This Row],[*Learning Model (Daniel)]:[Other2]])</f>
        <v>0</v>
      </c>
      <c r="AV126" s="3"/>
      <c r="AW126" s="3"/>
      <c r="AX126" s="3"/>
    </row>
    <row r="127" spans="1:50" x14ac:dyDescent="0.25">
      <c r="A127" s="21" t="s">
        <v>59</v>
      </c>
      <c r="B127" s="13" t="s">
        <v>5</v>
      </c>
      <c r="C127" s="13"/>
      <c r="D127" s="13"/>
      <c r="E127" s="13"/>
      <c r="F127" s="13"/>
      <c r="G127" s="20" t="s">
        <v>4</v>
      </c>
      <c r="H127" s="3" t="s">
        <v>3</v>
      </c>
      <c r="I127" s="3" t="s">
        <v>8</v>
      </c>
      <c r="J127" s="4" t="s">
        <v>46</v>
      </c>
      <c r="K127" s="4"/>
      <c r="L127" s="12" t="s">
        <v>24</v>
      </c>
      <c r="M127" s="4" t="s">
        <v>58</v>
      </c>
      <c r="N127" s="3">
        <v>95</v>
      </c>
      <c r="O127" s="3"/>
      <c r="P127" s="3"/>
      <c r="Q127" s="3" t="s">
        <v>57</v>
      </c>
      <c r="R127" s="3">
        <v>2016</v>
      </c>
      <c r="S127" s="19">
        <v>42705</v>
      </c>
      <c r="T127" s="19">
        <v>42856</v>
      </c>
      <c r="U127" s="2">
        <f>DATEDIF(Table1[[#This Row],[Start Date*]],Table1[[#This Row],[End Date*]],"d")</f>
        <v>151</v>
      </c>
      <c r="V127" s="18">
        <f>SUM(Table1[[#This Row],[DB]:[EH]])</f>
        <v>30</v>
      </c>
      <c r="W127" s="3">
        <v>30</v>
      </c>
      <c r="X127" s="3"/>
      <c r="Y127" s="3"/>
      <c r="Z127" s="3"/>
      <c r="AC127" s="3"/>
      <c r="AD127" s="12"/>
      <c r="AE127" s="12"/>
      <c r="AF127" s="3">
        <v>1</v>
      </c>
      <c r="AG127" s="3">
        <v>3</v>
      </c>
      <c r="AH127" s="3">
        <v>2</v>
      </c>
      <c r="AI127" s="3">
        <v>0</v>
      </c>
      <c r="AJ127" s="3">
        <v>0</v>
      </c>
      <c r="AK127" s="17">
        <f>SUBTOTAL(9,Table1[[#This Row],[Online Learning]:[Other]])</f>
        <v>6</v>
      </c>
      <c r="AL127" s="17"/>
      <c r="AM127" s="24"/>
      <c r="AN127" s="24"/>
      <c r="AO127" s="24"/>
      <c r="AP127" s="24"/>
      <c r="AQ127" s="24"/>
      <c r="AR127" s="24"/>
      <c r="AS127" s="24"/>
      <c r="AT127" s="24"/>
      <c r="AU127" s="14">
        <f>SUM(Table1[[#This Row],[*Learning Model (Daniel)]:[Other2]])</f>
        <v>0</v>
      </c>
      <c r="AV127" s="3">
        <v>0</v>
      </c>
      <c r="AW127" s="3">
        <v>0</v>
      </c>
      <c r="AX127" s="3">
        <v>2</v>
      </c>
    </row>
    <row r="128" spans="1:50" x14ac:dyDescent="0.25">
      <c r="A128" s="21" t="s">
        <v>56</v>
      </c>
      <c r="B128" s="13" t="s">
        <v>5</v>
      </c>
      <c r="C128" s="13"/>
      <c r="D128" s="13"/>
      <c r="E128" s="13"/>
      <c r="F128" s="13"/>
      <c r="G128" s="20" t="s">
        <v>4</v>
      </c>
      <c r="H128" s="3" t="s">
        <v>3</v>
      </c>
      <c r="I128" s="3" t="s">
        <v>26</v>
      </c>
      <c r="J128" s="4" t="s">
        <v>46</v>
      </c>
      <c r="K128" s="4"/>
      <c r="L128" s="12" t="s">
        <v>24</v>
      </c>
      <c r="M128" s="4" t="s">
        <v>53</v>
      </c>
      <c r="N128" s="3">
        <v>50</v>
      </c>
      <c r="O128" s="3"/>
      <c r="P128" s="3" t="s">
        <v>35</v>
      </c>
      <c r="Q128" s="3" t="s">
        <v>55</v>
      </c>
      <c r="R128" s="3">
        <v>2017</v>
      </c>
      <c r="S128" s="19">
        <v>42826</v>
      </c>
      <c r="T128" s="19">
        <v>42887</v>
      </c>
      <c r="U128" s="2">
        <f>DATEDIF(Table1[[#This Row],[Start Date*]],Table1[[#This Row],[End Date*]],"d")</f>
        <v>61</v>
      </c>
      <c r="V128" s="18">
        <f>SUM(Table1[[#This Row],[DB]:[EH]])</f>
        <v>70</v>
      </c>
      <c r="W128" s="3"/>
      <c r="X128" s="3"/>
      <c r="Y128" s="3">
        <v>10</v>
      </c>
      <c r="Z128" s="3">
        <v>60</v>
      </c>
      <c r="AC128" s="3"/>
      <c r="AD128" s="12"/>
      <c r="AE128" s="12"/>
      <c r="AF128" s="3"/>
      <c r="AG128" s="3"/>
      <c r="AH128" s="3"/>
      <c r="AI128" s="3"/>
      <c r="AJ128" s="3"/>
      <c r="AK128" s="17">
        <f>SUBTOTAL(9,Table1[[#This Row],[Online Learning]:[Other]])</f>
        <v>0</v>
      </c>
      <c r="AL128" s="17"/>
      <c r="AM128" s="24"/>
      <c r="AN128" s="24"/>
      <c r="AO128" s="24"/>
      <c r="AP128" s="24"/>
      <c r="AQ128" s="24"/>
      <c r="AR128" s="24"/>
      <c r="AS128" s="24"/>
      <c r="AT128" s="24"/>
      <c r="AU128" s="14">
        <f>SUM(Table1[[#This Row],[*Learning Model (Daniel)]:[Other2]])</f>
        <v>0</v>
      </c>
      <c r="AV128" s="3"/>
      <c r="AW128" s="3"/>
      <c r="AX128" s="3"/>
    </row>
    <row r="129" spans="1:50" x14ac:dyDescent="0.25">
      <c r="A129" s="21" t="s">
        <v>54</v>
      </c>
      <c r="B129" s="13" t="s">
        <v>5</v>
      </c>
      <c r="C129" s="13"/>
      <c r="D129" s="13"/>
      <c r="E129" s="13"/>
      <c r="F129" s="13"/>
      <c r="G129" s="20" t="s">
        <v>4</v>
      </c>
      <c r="H129" s="3" t="s">
        <v>3</v>
      </c>
      <c r="I129" s="3" t="s">
        <v>26</v>
      </c>
      <c r="J129" s="4" t="s">
        <v>46</v>
      </c>
      <c r="K129" s="4"/>
      <c r="L129" s="12" t="s">
        <v>24</v>
      </c>
      <c r="M129" s="4" t="s">
        <v>53</v>
      </c>
      <c r="N129" s="3">
        <v>50</v>
      </c>
      <c r="O129" s="3"/>
      <c r="P129" s="3"/>
      <c r="Q129" s="3" t="s">
        <v>51</v>
      </c>
      <c r="R129" s="3">
        <v>2017</v>
      </c>
      <c r="S129" s="19">
        <v>42736</v>
      </c>
      <c r="T129" s="19">
        <v>42917</v>
      </c>
      <c r="U129" s="2">
        <f>DATEDIF(Table1[[#This Row],[Start Date*]],Table1[[#This Row],[End Date*]],"d")</f>
        <v>181</v>
      </c>
      <c r="V129" s="18">
        <f>SUM(Table1[[#This Row],[DB]:[EH]])</f>
        <v>80</v>
      </c>
      <c r="W129" s="3"/>
      <c r="X129" s="3"/>
      <c r="Y129" s="3">
        <v>80</v>
      </c>
      <c r="Z129" s="3"/>
      <c r="AC129" s="3"/>
      <c r="AD129" s="12"/>
      <c r="AE129" s="12"/>
      <c r="AF129" s="3"/>
      <c r="AG129" s="3"/>
      <c r="AH129" s="3"/>
      <c r="AI129" s="3"/>
      <c r="AJ129" s="3"/>
      <c r="AK129" s="17">
        <f>SUBTOTAL(9,Table1[[#This Row],[Online Learning]:[Other]])</f>
        <v>0</v>
      </c>
      <c r="AL129" s="17"/>
      <c r="AM129" s="24"/>
      <c r="AN129" s="24"/>
      <c r="AO129" s="24"/>
      <c r="AP129" s="24"/>
      <c r="AQ129" s="24"/>
      <c r="AR129" s="24"/>
      <c r="AS129" s="24"/>
      <c r="AT129" s="24"/>
      <c r="AU129" s="14">
        <f>SUM(Table1[[#This Row],[*Learning Model (Daniel)]:[Other2]])</f>
        <v>0</v>
      </c>
      <c r="AV129" s="3"/>
      <c r="AW129" s="3"/>
      <c r="AX129" s="3"/>
    </row>
    <row r="130" spans="1:50" x14ac:dyDescent="0.25">
      <c r="A130" s="21" t="s">
        <v>52</v>
      </c>
      <c r="B130" s="13" t="s">
        <v>5</v>
      </c>
      <c r="C130" s="13"/>
      <c r="D130" s="13"/>
      <c r="E130" s="13"/>
      <c r="F130" s="13"/>
      <c r="G130" s="20" t="s">
        <v>4</v>
      </c>
      <c r="H130" s="3" t="s">
        <v>3</v>
      </c>
      <c r="I130" s="3" t="s">
        <v>26</v>
      </c>
      <c r="J130" s="4" t="s">
        <v>21</v>
      </c>
      <c r="K130" s="4"/>
      <c r="L130" s="12"/>
      <c r="M130" s="4"/>
      <c r="N130" s="3">
        <v>90</v>
      </c>
      <c r="O130" s="3"/>
      <c r="P130" s="3"/>
      <c r="Q130" s="3" t="s">
        <v>51</v>
      </c>
      <c r="R130" s="3">
        <v>2016</v>
      </c>
      <c r="S130" s="19">
        <v>42370</v>
      </c>
      <c r="T130" s="19">
        <v>42795</v>
      </c>
      <c r="U130" s="2">
        <f>DATEDIF(Table1[[#This Row],[Start Date*]],Table1[[#This Row],[End Date*]],"d")</f>
        <v>425</v>
      </c>
      <c r="V130" s="18">
        <f>SUM(Table1[[#This Row],[DB]:[EH]])</f>
        <v>30</v>
      </c>
      <c r="W130" s="3"/>
      <c r="X130" s="3"/>
      <c r="Y130" s="3">
        <v>30</v>
      </c>
      <c r="Z130" s="3"/>
      <c r="AC130" s="3"/>
      <c r="AD130" s="12"/>
      <c r="AE130" s="12"/>
      <c r="AF130" s="3"/>
      <c r="AG130" s="3"/>
      <c r="AH130" s="3"/>
      <c r="AI130" s="3"/>
      <c r="AJ130" s="3"/>
      <c r="AK130" s="17">
        <f>SUBTOTAL(9,Table1[[#This Row],[Online Learning]:[Other]])</f>
        <v>0</v>
      </c>
      <c r="AL130" s="17"/>
      <c r="AM130" s="24"/>
      <c r="AN130" s="24"/>
      <c r="AO130" s="24"/>
      <c r="AP130" s="24"/>
      <c r="AQ130" s="24"/>
      <c r="AR130" s="24"/>
      <c r="AS130" s="24"/>
      <c r="AT130" s="24"/>
      <c r="AU130" s="14">
        <f>SUM(Table1[[#This Row],[*Learning Model (Daniel)]:[Other2]])</f>
        <v>0</v>
      </c>
      <c r="AV130" s="3"/>
      <c r="AW130" s="3"/>
      <c r="AX130" s="3"/>
    </row>
    <row r="131" spans="1:50" x14ac:dyDescent="0.25">
      <c r="A131" s="21" t="s">
        <v>50</v>
      </c>
      <c r="B131" s="13" t="s">
        <v>5</v>
      </c>
      <c r="C131" s="13"/>
      <c r="D131" s="13"/>
      <c r="E131" s="13"/>
      <c r="F131" s="13"/>
      <c r="G131" s="20" t="s">
        <v>4</v>
      </c>
      <c r="H131" s="3" t="s">
        <v>3</v>
      </c>
      <c r="I131" s="3" t="s">
        <v>26</v>
      </c>
      <c r="J131" s="4" t="s">
        <v>46</v>
      </c>
      <c r="K131" s="4"/>
      <c r="L131" s="12" t="s">
        <v>1</v>
      </c>
      <c r="M131" s="4" t="s">
        <v>45</v>
      </c>
      <c r="N131" s="3">
        <v>90</v>
      </c>
      <c r="O131" s="3"/>
      <c r="P131" s="3"/>
      <c r="Q131" s="3" t="s">
        <v>49</v>
      </c>
      <c r="R131" s="3">
        <v>2017</v>
      </c>
      <c r="S131" s="19">
        <v>42795</v>
      </c>
      <c r="T131" s="19">
        <v>42887</v>
      </c>
      <c r="U131" s="2">
        <f>DATEDIF(Table1[[#This Row],[Start Date*]],Table1[[#This Row],[End Date*]],"d")</f>
        <v>92</v>
      </c>
      <c r="V131" s="18">
        <f>SUM(Table1[[#This Row],[DB]:[EH]])</f>
        <v>30</v>
      </c>
      <c r="W131" s="3"/>
      <c r="X131" s="3"/>
      <c r="Y131" s="3">
        <v>30</v>
      </c>
      <c r="Z131" s="3"/>
      <c r="AC131" s="3"/>
      <c r="AD131" s="12"/>
      <c r="AE131" s="12"/>
      <c r="AF131" s="3"/>
      <c r="AG131" s="3"/>
      <c r="AH131" s="3"/>
      <c r="AI131" s="3"/>
      <c r="AJ131" s="3"/>
      <c r="AK131" s="17">
        <f>SUBTOTAL(9,Table1[[#This Row],[Online Learning]:[Other]])</f>
        <v>0</v>
      </c>
      <c r="AL131" s="17"/>
      <c r="AM131" s="24"/>
      <c r="AN131" s="24"/>
      <c r="AO131" s="24"/>
      <c r="AP131" s="24"/>
      <c r="AQ131" s="24"/>
      <c r="AR131" s="24"/>
      <c r="AS131" s="24"/>
      <c r="AT131" s="24"/>
      <c r="AU131" s="14">
        <f>SUM(Table1[[#This Row],[*Learning Model (Daniel)]:[Other2]])</f>
        <v>0</v>
      </c>
      <c r="AV131" s="3">
        <v>3</v>
      </c>
      <c r="AW131" s="3"/>
      <c r="AX131" s="3"/>
    </row>
    <row r="132" spans="1:50" x14ac:dyDescent="0.25">
      <c r="A132" s="21" t="s">
        <v>48</v>
      </c>
      <c r="B132" s="13" t="s">
        <v>5</v>
      </c>
      <c r="C132" s="13"/>
      <c r="D132" s="13"/>
      <c r="E132" s="13"/>
      <c r="F132" s="13"/>
      <c r="G132" s="20" t="s">
        <v>4</v>
      </c>
      <c r="H132" s="3" t="s">
        <v>3</v>
      </c>
      <c r="I132" s="3" t="s">
        <v>26</v>
      </c>
      <c r="J132" s="4" t="s">
        <v>46</v>
      </c>
      <c r="K132" s="4"/>
      <c r="L132" s="12" t="s">
        <v>1</v>
      </c>
      <c r="M132" s="4" t="s">
        <v>45</v>
      </c>
      <c r="N132" s="3">
        <v>10</v>
      </c>
      <c r="O132" s="3"/>
      <c r="P132" s="3"/>
      <c r="Q132" s="3"/>
      <c r="R132" s="3"/>
      <c r="S132" s="19"/>
      <c r="T132" s="19"/>
      <c r="U132" s="2">
        <f>DATEDIF(Table1[[#This Row],[Start Date*]],Table1[[#This Row],[End Date*]],"d")</f>
        <v>0</v>
      </c>
      <c r="V132" s="18">
        <f>SUM(Table1[[#This Row],[DB]:[EH]])</f>
        <v>0</v>
      </c>
      <c r="W132" s="3"/>
      <c r="X132" s="3"/>
      <c r="Y132" s="3"/>
      <c r="Z132" s="3"/>
      <c r="AC132" s="3"/>
      <c r="AD132" s="12"/>
      <c r="AE132" s="12"/>
      <c r="AF132" s="3"/>
      <c r="AG132" s="3"/>
      <c r="AH132" s="3"/>
      <c r="AI132" s="3"/>
      <c r="AJ132" s="3"/>
      <c r="AK132" s="17">
        <f>SUBTOTAL(9,Table1[[#This Row],[Online Learning]:[Other]])</f>
        <v>0</v>
      </c>
      <c r="AL132" s="17"/>
      <c r="AM132" s="24"/>
      <c r="AN132" s="24"/>
      <c r="AO132" s="24"/>
      <c r="AP132" s="24"/>
      <c r="AQ132" s="24"/>
      <c r="AR132" s="24"/>
      <c r="AS132" s="24"/>
      <c r="AT132" s="24"/>
      <c r="AU132" s="14">
        <f>SUM(Table1[[#This Row],[*Learning Model (Daniel)]:[Other2]])</f>
        <v>0</v>
      </c>
      <c r="AV132" s="3"/>
      <c r="AW132" s="3"/>
      <c r="AX132" s="3"/>
    </row>
    <row r="133" spans="1:50" x14ac:dyDescent="0.25">
      <c r="A133" s="21" t="s">
        <v>47</v>
      </c>
      <c r="B133" s="13" t="s">
        <v>5</v>
      </c>
      <c r="C133" s="13"/>
      <c r="D133" s="13"/>
      <c r="E133" s="13"/>
      <c r="F133" s="13"/>
      <c r="G133" s="20" t="s">
        <v>4</v>
      </c>
      <c r="H133" s="3" t="s">
        <v>3</v>
      </c>
      <c r="I133" s="3" t="s">
        <v>26</v>
      </c>
      <c r="J133" s="4" t="s">
        <v>46</v>
      </c>
      <c r="K133" s="4"/>
      <c r="L133" s="12" t="s">
        <v>1</v>
      </c>
      <c r="M133" s="4" t="s">
        <v>45</v>
      </c>
      <c r="N133" s="3">
        <v>10</v>
      </c>
      <c r="O133" s="3"/>
      <c r="P133" s="3"/>
      <c r="Q133" s="3"/>
      <c r="R133" s="3"/>
      <c r="S133" s="19"/>
      <c r="T133" s="19"/>
      <c r="U133" s="2">
        <f>DATEDIF(Table1[[#This Row],[Start Date*]],Table1[[#This Row],[End Date*]],"d")</f>
        <v>0</v>
      </c>
      <c r="V133" s="18">
        <f>SUM(Table1[[#This Row],[DB]:[EH]])</f>
        <v>0</v>
      </c>
      <c r="W133" s="3"/>
      <c r="X133" s="3"/>
      <c r="Y133" s="3"/>
      <c r="Z133" s="3"/>
      <c r="AC133" s="3"/>
      <c r="AD133" s="12"/>
      <c r="AE133" s="12"/>
      <c r="AF133" s="3"/>
      <c r="AG133" s="3"/>
      <c r="AH133" s="3"/>
      <c r="AI133" s="3"/>
      <c r="AJ133" s="3"/>
      <c r="AK133" s="17">
        <f>SUBTOTAL(9,Table1[[#This Row],[Online Learning]:[Other]])</f>
        <v>0</v>
      </c>
      <c r="AL133" s="17"/>
      <c r="AM133" s="24"/>
      <c r="AN133" s="24"/>
      <c r="AO133" s="24"/>
      <c r="AP133" s="24"/>
      <c r="AQ133" s="24"/>
      <c r="AR133" s="24"/>
      <c r="AS133" s="24"/>
      <c r="AT133" s="24"/>
      <c r="AU133" s="14">
        <f>SUM(Table1[[#This Row],[*Learning Model (Daniel)]:[Other2]])</f>
        <v>0</v>
      </c>
      <c r="AV133" s="3"/>
      <c r="AW133" s="3"/>
      <c r="AX133" s="3"/>
    </row>
    <row r="134" spans="1:50" x14ac:dyDescent="0.25">
      <c r="A134" s="21" t="s">
        <v>44</v>
      </c>
      <c r="B134" s="8"/>
      <c r="C134" s="8"/>
      <c r="D134" s="8"/>
      <c r="E134" s="8"/>
      <c r="F134" s="8"/>
      <c r="H134" s="3" t="s">
        <v>43</v>
      </c>
      <c r="I134" s="3" t="s">
        <v>42</v>
      </c>
      <c r="J134" s="4"/>
      <c r="K134" s="4"/>
      <c r="L134" s="12"/>
      <c r="M134" s="4"/>
      <c r="N134" s="3">
        <v>30</v>
      </c>
      <c r="O134" s="3"/>
      <c r="P134" s="3"/>
      <c r="Q134" s="3"/>
      <c r="R134" s="3"/>
      <c r="S134" s="19"/>
      <c r="T134" s="3"/>
      <c r="U134" s="2">
        <f>DATEDIF(Table1[[#This Row],[Start Date*]],Table1[[#This Row],[End Date*]],"d")</f>
        <v>0</v>
      </c>
      <c r="V134" s="18">
        <f>SUM(Table1[[#This Row],[DB]:[EH]])</f>
        <v>30</v>
      </c>
      <c r="W134" s="3"/>
      <c r="X134" s="3"/>
      <c r="Y134" s="3"/>
      <c r="Z134" s="3"/>
      <c r="AB134" s="3">
        <v>30</v>
      </c>
      <c r="AC134" s="3"/>
      <c r="AD134" s="12"/>
      <c r="AE134" s="12"/>
      <c r="AF134" s="3"/>
      <c r="AG134" s="3"/>
      <c r="AH134" s="3"/>
      <c r="AI134" s="3"/>
      <c r="AJ134" s="3"/>
      <c r="AK134" s="17">
        <f>SUBTOTAL(9,Table1[[#This Row],[Online Learning]:[Other]])</f>
        <v>0</v>
      </c>
      <c r="AL134" s="17"/>
      <c r="AM134" s="24"/>
      <c r="AN134" s="24"/>
      <c r="AO134" s="24"/>
      <c r="AP134" s="24"/>
      <c r="AQ134" s="24"/>
      <c r="AR134" s="24"/>
      <c r="AS134" s="24"/>
      <c r="AT134" s="24"/>
      <c r="AU134" s="14">
        <f>SUM(Table1[[#This Row],[*Learning Model (Daniel)]:[Other2]])</f>
        <v>0</v>
      </c>
      <c r="AV134" s="3"/>
      <c r="AW134" s="3"/>
      <c r="AX134" s="3"/>
    </row>
    <row r="135" spans="1:50" x14ac:dyDescent="0.25">
      <c r="A135" s="21" t="s">
        <v>41</v>
      </c>
      <c r="B135" s="13" t="s">
        <v>5</v>
      </c>
      <c r="C135" s="13"/>
      <c r="D135" s="13"/>
      <c r="E135" s="13"/>
      <c r="F135" s="13"/>
      <c r="G135" s="20" t="s">
        <v>4</v>
      </c>
      <c r="H135" s="3" t="s">
        <v>3</v>
      </c>
      <c r="I135" s="3" t="s">
        <v>22</v>
      </c>
      <c r="J135" s="4" t="s">
        <v>2</v>
      </c>
      <c r="K135" s="4"/>
      <c r="L135" s="11" t="s">
        <v>12</v>
      </c>
      <c r="M135" s="4"/>
      <c r="N135" s="3"/>
      <c r="O135" s="3"/>
      <c r="P135" s="3"/>
      <c r="Q135" s="3"/>
      <c r="R135" s="3"/>
      <c r="S135" s="19"/>
      <c r="T135" s="19"/>
      <c r="U135" s="2">
        <f>DATEDIF(Table1[[#This Row],[Start Date*]],Table1[[#This Row],[End Date*]],"d")</f>
        <v>0</v>
      </c>
      <c r="V135" s="18">
        <f>SUM(Table1[[#This Row],[DB]:[EH]])</f>
        <v>0</v>
      </c>
      <c r="W135" s="3"/>
      <c r="X135" s="3"/>
      <c r="Y135" s="3"/>
      <c r="Z135" s="3"/>
      <c r="AC135" s="3"/>
      <c r="AD135" s="8">
        <v>1</v>
      </c>
      <c r="AE135" s="8"/>
      <c r="AF135" s="3">
        <v>4</v>
      </c>
      <c r="AG135" s="3">
        <v>4</v>
      </c>
      <c r="AH135" s="3">
        <v>2</v>
      </c>
      <c r="AI135" s="3">
        <v>1</v>
      </c>
      <c r="AJ135" s="3">
        <v>0</v>
      </c>
      <c r="AK135" s="17">
        <f>SUBTOTAL(9,Table1[[#This Row],[Online Learning]:[Other]])</f>
        <v>11</v>
      </c>
      <c r="AL135" s="16">
        <v>5</v>
      </c>
      <c r="AM135" s="15">
        <v>0</v>
      </c>
      <c r="AN135" s="6">
        <v>0</v>
      </c>
      <c r="AO135" s="6">
        <v>4</v>
      </c>
      <c r="AP135" s="6">
        <v>4</v>
      </c>
      <c r="AQ135" s="6">
        <v>0</v>
      </c>
      <c r="AR135" s="6">
        <v>2</v>
      </c>
      <c r="AS135" s="6">
        <v>0</v>
      </c>
      <c r="AT135" s="6">
        <v>0</v>
      </c>
      <c r="AU135" s="14">
        <f>SUM(Table1[[#This Row],[*Learning Model (Daniel)]:[Other2]])</f>
        <v>15</v>
      </c>
      <c r="AV135" s="3">
        <v>4</v>
      </c>
      <c r="AW135" s="3">
        <v>2</v>
      </c>
      <c r="AX135" s="3">
        <v>1</v>
      </c>
    </row>
    <row r="136" spans="1:50" x14ac:dyDescent="0.25">
      <c r="A136" s="21" t="s">
        <v>40</v>
      </c>
      <c r="B136" s="13" t="s">
        <v>5</v>
      </c>
      <c r="C136" s="13"/>
      <c r="D136" s="13"/>
      <c r="E136" s="13"/>
      <c r="F136" s="13"/>
      <c r="G136" s="20" t="s">
        <v>4</v>
      </c>
      <c r="H136" s="3" t="s">
        <v>3</v>
      </c>
      <c r="I136" s="3" t="s">
        <v>8</v>
      </c>
      <c r="J136" s="4" t="s">
        <v>2</v>
      </c>
      <c r="K136" s="4"/>
      <c r="L136" s="12" t="s">
        <v>12</v>
      </c>
      <c r="M136" s="4"/>
      <c r="N136" s="3">
        <v>0</v>
      </c>
      <c r="O136" s="3"/>
      <c r="P136" s="3"/>
      <c r="Q136" s="3"/>
      <c r="R136" s="3"/>
      <c r="S136" s="19"/>
      <c r="T136" s="3"/>
      <c r="U136" s="2">
        <f>DATEDIF(Table1[[#This Row],[Start Date*]],Table1[[#This Row],[End Date*]],"d")</f>
        <v>0</v>
      </c>
      <c r="V136" s="18">
        <f>SUM(Table1[[#This Row],[DB]:[EH]])</f>
        <v>70</v>
      </c>
      <c r="W136" s="3">
        <v>70</v>
      </c>
      <c r="X136" s="3"/>
      <c r="Y136" s="3"/>
      <c r="Z136" s="3"/>
      <c r="AC136" s="3"/>
      <c r="AD136" s="8">
        <v>2</v>
      </c>
      <c r="AE136" s="8"/>
      <c r="AF136" s="3">
        <v>3</v>
      </c>
      <c r="AG136" s="3">
        <v>3</v>
      </c>
      <c r="AH136" s="3">
        <v>2</v>
      </c>
      <c r="AI136" s="3">
        <v>2</v>
      </c>
      <c r="AJ136" s="3">
        <v>0</v>
      </c>
      <c r="AK136" s="22">
        <f>SUBTOTAL(9,Table1[[#This Row],[Online Learning]:[Other]])</f>
        <v>10</v>
      </c>
      <c r="AL136" s="16">
        <v>5</v>
      </c>
      <c r="AM136" s="15">
        <v>0</v>
      </c>
      <c r="AN136" s="6">
        <v>0</v>
      </c>
      <c r="AO136" s="6">
        <v>1</v>
      </c>
      <c r="AP136" s="6">
        <v>1</v>
      </c>
      <c r="AQ136" s="6">
        <v>0</v>
      </c>
      <c r="AR136" s="6">
        <v>3</v>
      </c>
      <c r="AS136" s="6">
        <v>0</v>
      </c>
      <c r="AT136" s="6">
        <v>0</v>
      </c>
      <c r="AU136" s="14">
        <f>SUM(Table1[[#This Row],[*Learning Model (Daniel)]:[Other2]])</f>
        <v>10</v>
      </c>
      <c r="AV136" s="3">
        <v>4</v>
      </c>
      <c r="AW136" s="3">
        <v>1</v>
      </c>
      <c r="AX136" s="3">
        <v>1</v>
      </c>
    </row>
    <row r="137" spans="1:50" x14ac:dyDescent="0.25">
      <c r="A137" s="21" t="s">
        <v>39</v>
      </c>
      <c r="B137" s="13" t="s">
        <v>5</v>
      </c>
      <c r="C137" s="13"/>
      <c r="D137" s="13"/>
      <c r="E137" s="13"/>
      <c r="F137" s="13"/>
      <c r="G137" s="20" t="s">
        <v>4</v>
      </c>
      <c r="H137" s="3" t="s">
        <v>3</v>
      </c>
      <c r="I137" s="3" t="s">
        <v>26</v>
      </c>
      <c r="J137" s="4" t="s">
        <v>2</v>
      </c>
      <c r="K137" s="4"/>
      <c r="L137" s="12" t="s">
        <v>12</v>
      </c>
      <c r="M137" s="4"/>
      <c r="N137" s="3">
        <v>0</v>
      </c>
      <c r="O137" s="3"/>
      <c r="P137" s="3"/>
      <c r="Q137" s="3"/>
      <c r="R137" s="3"/>
      <c r="S137" s="19"/>
      <c r="T137" s="3"/>
      <c r="U137" s="2">
        <f>DATEDIF(Table1[[#This Row],[Start Date*]],Table1[[#This Row],[End Date*]],"d")</f>
        <v>0</v>
      </c>
      <c r="V137" s="18">
        <f>SUM(Table1[[#This Row],[DB]:[EH]])</f>
        <v>50</v>
      </c>
      <c r="W137" s="3"/>
      <c r="X137" s="3"/>
      <c r="Y137" s="3">
        <v>50</v>
      </c>
      <c r="Z137" s="3"/>
      <c r="AC137" s="3"/>
      <c r="AD137" s="8">
        <v>1</v>
      </c>
      <c r="AE137" s="8"/>
      <c r="AF137" s="3">
        <v>3</v>
      </c>
      <c r="AG137" s="3">
        <v>3</v>
      </c>
      <c r="AH137" s="3">
        <v>3</v>
      </c>
      <c r="AI137" s="3">
        <v>1</v>
      </c>
      <c r="AJ137" s="3">
        <v>0</v>
      </c>
      <c r="AK137" s="22">
        <f>SUBTOTAL(9,Table1[[#This Row],[Online Learning]:[Other]])</f>
        <v>10</v>
      </c>
      <c r="AL137" s="16">
        <v>4</v>
      </c>
      <c r="AM137" s="15">
        <v>0</v>
      </c>
      <c r="AN137" s="6">
        <v>0</v>
      </c>
      <c r="AO137" s="6">
        <v>2</v>
      </c>
      <c r="AP137" s="6">
        <v>2</v>
      </c>
      <c r="AQ137" s="6">
        <v>0</v>
      </c>
      <c r="AR137" s="6">
        <v>5</v>
      </c>
      <c r="AS137" s="6">
        <v>0</v>
      </c>
      <c r="AT137" s="6">
        <v>0</v>
      </c>
      <c r="AU137" s="14">
        <f>SUM(Table1[[#This Row],[*Learning Model (Daniel)]:[Other2]])</f>
        <v>13</v>
      </c>
      <c r="AV137" s="3">
        <v>2</v>
      </c>
      <c r="AW137" s="3">
        <v>5</v>
      </c>
      <c r="AX137" s="3">
        <v>1</v>
      </c>
    </row>
    <row r="138" spans="1:50" x14ac:dyDescent="0.25">
      <c r="A138" s="21" t="s">
        <v>38</v>
      </c>
      <c r="B138" s="13" t="s">
        <v>5</v>
      </c>
      <c r="C138" s="13"/>
      <c r="D138" s="13"/>
      <c r="E138" s="13"/>
      <c r="F138" s="13"/>
      <c r="G138" s="20" t="s">
        <v>4</v>
      </c>
      <c r="H138" s="3" t="s">
        <v>3</v>
      </c>
      <c r="I138" s="3" t="s">
        <v>26</v>
      </c>
      <c r="J138" s="4" t="s">
        <v>2</v>
      </c>
      <c r="K138" s="4"/>
      <c r="L138" s="12" t="s">
        <v>24</v>
      </c>
      <c r="M138" s="4"/>
      <c r="N138" s="3">
        <v>0</v>
      </c>
      <c r="O138" s="3"/>
      <c r="P138" s="3"/>
      <c r="Q138" s="3"/>
      <c r="R138" s="3"/>
      <c r="S138" s="19"/>
      <c r="T138" s="3"/>
      <c r="U138" s="2">
        <f>DATEDIF(Table1[[#This Row],[Start Date*]],Table1[[#This Row],[End Date*]],"d")</f>
        <v>0</v>
      </c>
      <c r="V138" s="18">
        <f>SUM(Table1[[#This Row],[DB]:[EH]])</f>
        <v>100</v>
      </c>
      <c r="W138" s="3"/>
      <c r="X138" s="3"/>
      <c r="Y138" s="3">
        <v>100</v>
      </c>
      <c r="Z138" s="3"/>
      <c r="AC138" s="3"/>
      <c r="AD138" s="8">
        <v>3</v>
      </c>
      <c r="AE138" s="8"/>
      <c r="AF138" s="3">
        <v>2</v>
      </c>
      <c r="AG138" s="3">
        <v>2</v>
      </c>
      <c r="AH138" s="3">
        <v>0</v>
      </c>
      <c r="AI138" s="3">
        <v>0</v>
      </c>
      <c r="AJ138" s="3">
        <v>0</v>
      </c>
      <c r="AK138" s="22">
        <f>SUBTOTAL(9,Table1[[#This Row],[Online Learning]:[Other]])</f>
        <v>4</v>
      </c>
      <c r="AL138" s="16">
        <v>1</v>
      </c>
      <c r="AM138" s="15">
        <v>0</v>
      </c>
      <c r="AN138" s="6">
        <v>5</v>
      </c>
      <c r="AO138" s="6">
        <v>3</v>
      </c>
      <c r="AP138" s="6">
        <v>3</v>
      </c>
      <c r="AQ138" s="6">
        <v>0</v>
      </c>
      <c r="AR138" s="6">
        <v>1</v>
      </c>
      <c r="AS138" s="6">
        <v>1</v>
      </c>
      <c r="AT138" s="6">
        <v>0</v>
      </c>
      <c r="AU138" s="14">
        <f>SUM(Table1[[#This Row],[*Learning Model (Daniel)]:[Other2]])</f>
        <v>14</v>
      </c>
      <c r="AV138" s="3">
        <v>2</v>
      </c>
      <c r="AW138" s="3">
        <v>2</v>
      </c>
      <c r="AX138" s="3">
        <v>3</v>
      </c>
    </row>
    <row r="139" spans="1:50" x14ac:dyDescent="0.25">
      <c r="A139" s="21" t="s">
        <v>37</v>
      </c>
      <c r="B139" s="13" t="s">
        <v>5</v>
      </c>
      <c r="C139" s="13"/>
      <c r="D139" s="13"/>
      <c r="E139" s="13"/>
      <c r="F139" s="13"/>
      <c r="G139" s="20" t="s">
        <v>4</v>
      </c>
      <c r="H139" s="3" t="s">
        <v>3</v>
      </c>
      <c r="I139" s="3" t="s">
        <v>22</v>
      </c>
      <c r="J139" s="4" t="s">
        <v>2</v>
      </c>
      <c r="K139" s="4"/>
      <c r="L139" s="12" t="s">
        <v>24</v>
      </c>
      <c r="M139" s="4"/>
      <c r="N139" s="3">
        <v>0</v>
      </c>
      <c r="O139" s="3"/>
      <c r="P139" s="3"/>
      <c r="Q139" s="3"/>
      <c r="R139" s="3"/>
      <c r="S139" s="19"/>
      <c r="T139" s="3"/>
      <c r="U139" s="2">
        <f>DATEDIF(Table1[[#This Row],[Start Date*]],Table1[[#This Row],[End Date*]],"d")</f>
        <v>0</v>
      </c>
      <c r="V139" s="18">
        <f>SUM(Table1[[#This Row],[DB]:[EH]])</f>
        <v>100</v>
      </c>
      <c r="W139" s="3"/>
      <c r="X139" s="3">
        <v>100</v>
      </c>
      <c r="Y139" s="3"/>
      <c r="Z139" s="3"/>
      <c r="AC139" s="3"/>
      <c r="AD139" s="8">
        <v>2</v>
      </c>
      <c r="AE139" s="8"/>
      <c r="AF139" s="3">
        <v>4</v>
      </c>
      <c r="AG139" s="3">
        <v>2</v>
      </c>
      <c r="AH139" s="3">
        <v>0</v>
      </c>
      <c r="AI139" s="3">
        <v>1</v>
      </c>
      <c r="AJ139" s="3">
        <v>0</v>
      </c>
      <c r="AK139" s="22">
        <f>SUBTOTAL(9,Table1[[#This Row],[Online Learning]:[Other]])</f>
        <v>7</v>
      </c>
      <c r="AL139" s="23">
        <v>0</v>
      </c>
      <c r="AM139" s="15">
        <v>0</v>
      </c>
      <c r="AN139" s="6">
        <v>0</v>
      </c>
      <c r="AO139" s="15">
        <v>4</v>
      </c>
      <c r="AP139" s="15">
        <v>2</v>
      </c>
      <c r="AQ139" s="6">
        <v>0</v>
      </c>
      <c r="AR139" s="15">
        <v>4</v>
      </c>
      <c r="AS139" s="6">
        <v>0</v>
      </c>
      <c r="AT139" s="6">
        <v>0</v>
      </c>
      <c r="AU139" s="14">
        <f>SUM(Table1[[#This Row],[*Learning Model (Daniel)]:[Other2]])</f>
        <v>10</v>
      </c>
      <c r="AV139" s="3">
        <v>4</v>
      </c>
      <c r="AW139" s="3">
        <v>1</v>
      </c>
      <c r="AX139" s="3">
        <v>1</v>
      </c>
    </row>
    <row r="140" spans="1:50" x14ac:dyDescent="0.25">
      <c r="A140" s="21" t="s">
        <v>36</v>
      </c>
      <c r="B140" s="13" t="s">
        <v>5</v>
      </c>
      <c r="C140" s="13"/>
      <c r="D140" s="13"/>
      <c r="E140" s="13"/>
      <c r="F140" s="13"/>
      <c r="G140" s="20" t="s">
        <v>4</v>
      </c>
      <c r="H140" s="3" t="s">
        <v>3</v>
      </c>
      <c r="I140" s="3" t="s">
        <v>8</v>
      </c>
      <c r="J140" s="4" t="s">
        <v>2</v>
      </c>
      <c r="K140" s="4"/>
      <c r="L140" s="12" t="s">
        <v>12</v>
      </c>
      <c r="M140" s="4"/>
      <c r="N140" s="3">
        <v>0</v>
      </c>
      <c r="O140" s="3"/>
      <c r="P140" s="3" t="s">
        <v>35</v>
      </c>
      <c r="Q140" s="3" t="s">
        <v>34</v>
      </c>
      <c r="R140" s="3">
        <v>2017</v>
      </c>
      <c r="S140" s="19">
        <v>42767</v>
      </c>
      <c r="T140" s="19">
        <v>42887</v>
      </c>
      <c r="U140" s="2">
        <f>DATEDIF(Table1[[#This Row],[Start Date*]],Table1[[#This Row],[End Date*]],"d")</f>
        <v>120</v>
      </c>
      <c r="V140" s="18">
        <f>SUM(Table1[[#This Row],[DB]:[EH]])</f>
        <v>50</v>
      </c>
      <c r="W140" s="3"/>
      <c r="X140" s="3">
        <v>30</v>
      </c>
      <c r="Y140" s="3"/>
      <c r="Z140" s="3">
        <v>20</v>
      </c>
      <c r="AC140" s="3"/>
      <c r="AD140" s="8">
        <v>1</v>
      </c>
      <c r="AE140" s="8"/>
      <c r="AF140" s="3">
        <v>3</v>
      </c>
      <c r="AG140" s="3">
        <v>3</v>
      </c>
      <c r="AH140" s="3">
        <v>3</v>
      </c>
      <c r="AI140" s="3">
        <v>2</v>
      </c>
      <c r="AJ140" s="3">
        <v>0</v>
      </c>
      <c r="AK140" s="22">
        <f>SUBTOTAL(9,Table1[[#This Row],[Online Learning]:[Other]])</f>
        <v>11</v>
      </c>
      <c r="AL140" s="16">
        <v>1</v>
      </c>
      <c r="AM140" s="15">
        <v>1</v>
      </c>
      <c r="AN140" s="6">
        <v>0</v>
      </c>
      <c r="AO140" s="6">
        <v>3</v>
      </c>
      <c r="AP140" s="6">
        <v>3</v>
      </c>
      <c r="AQ140" s="6">
        <v>0</v>
      </c>
      <c r="AR140" s="6">
        <v>2</v>
      </c>
      <c r="AS140" s="6">
        <v>0</v>
      </c>
      <c r="AT140" s="6">
        <v>0</v>
      </c>
      <c r="AU140" s="14">
        <f>SUM(Table1[[#This Row],[*Learning Model (Daniel)]:[Other2]])</f>
        <v>10</v>
      </c>
      <c r="AV140" s="3">
        <v>0</v>
      </c>
      <c r="AW140" s="3">
        <v>0</v>
      </c>
      <c r="AX140" s="3">
        <v>5</v>
      </c>
    </row>
    <row r="141" spans="1:50" x14ac:dyDescent="0.25">
      <c r="A141" s="21" t="s">
        <v>33</v>
      </c>
      <c r="B141" s="13" t="s">
        <v>5</v>
      </c>
      <c r="C141" s="13"/>
      <c r="D141" s="13"/>
      <c r="E141" s="13"/>
      <c r="F141" s="13"/>
      <c r="G141" s="20" t="s">
        <v>4</v>
      </c>
      <c r="H141" s="3" t="s">
        <v>3</v>
      </c>
      <c r="I141" s="3"/>
      <c r="J141" s="4" t="s">
        <v>2</v>
      </c>
      <c r="K141" s="4"/>
      <c r="L141" s="12" t="s">
        <v>1</v>
      </c>
      <c r="M141" s="4"/>
      <c r="N141" s="3">
        <v>0</v>
      </c>
      <c r="O141" s="3"/>
      <c r="P141" s="3"/>
      <c r="Q141" s="3"/>
      <c r="R141" s="3"/>
      <c r="S141" s="19"/>
      <c r="T141" s="19"/>
      <c r="U141" s="2">
        <f>DATEDIF(Table1[[#This Row],[Start Date*]],Table1[[#This Row],[End Date*]],"d")</f>
        <v>0</v>
      </c>
      <c r="V141" s="18">
        <f>SUM(Table1[[#This Row],[DB]:[EH]])</f>
        <v>0</v>
      </c>
      <c r="W141" s="3"/>
      <c r="X141" s="3"/>
      <c r="Y141" s="3"/>
      <c r="Z141" s="3"/>
      <c r="AC141" s="3"/>
      <c r="AD141" s="8">
        <v>4</v>
      </c>
      <c r="AE141" s="8"/>
      <c r="AF141" s="3">
        <v>2</v>
      </c>
      <c r="AG141" s="3">
        <v>2</v>
      </c>
      <c r="AH141" s="3">
        <v>0</v>
      </c>
      <c r="AI141" s="3">
        <v>0</v>
      </c>
      <c r="AJ141" s="3">
        <v>0</v>
      </c>
      <c r="AK141" s="22">
        <f>SUBTOTAL(9,Table1[[#This Row],[Online Learning]:[Other]])</f>
        <v>4</v>
      </c>
      <c r="AL141" s="16">
        <v>0</v>
      </c>
      <c r="AM141" s="15">
        <v>0</v>
      </c>
      <c r="AN141" s="6">
        <v>0</v>
      </c>
      <c r="AO141" s="6">
        <v>0</v>
      </c>
      <c r="AP141" s="6">
        <v>2</v>
      </c>
      <c r="AQ141" s="6">
        <v>0</v>
      </c>
      <c r="AR141" s="6">
        <v>0</v>
      </c>
      <c r="AS141" s="6">
        <v>4</v>
      </c>
      <c r="AT141" s="6">
        <v>0</v>
      </c>
      <c r="AU141" s="14">
        <f>SUM(Table1[[#This Row],[*Learning Model (Daniel)]:[Other2]])</f>
        <v>6</v>
      </c>
      <c r="AV141" s="3">
        <v>1</v>
      </c>
      <c r="AW141" s="3">
        <v>0</v>
      </c>
      <c r="AX141" s="3">
        <v>3</v>
      </c>
    </row>
    <row r="142" spans="1:50" x14ac:dyDescent="0.25">
      <c r="A142" s="21" t="s">
        <v>32</v>
      </c>
      <c r="B142" s="13" t="s">
        <v>5</v>
      </c>
      <c r="C142" s="13"/>
      <c r="D142" s="13"/>
      <c r="E142" s="13"/>
      <c r="F142" s="13"/>
      <c r="G142" s="20" t="s">
        <v>4</v>
      </c>
      <c r="H142" s="3" t="s">
        <v>3</v>
      </c>
      <c r="I142" s="3" t="s">
        <v>26</v>
      </c>
      <c r="J142" s="4" t="s">
        <v>31</v>
      </c>
      <c r="K142" s="4"/>
      <c r="L142" s="12" t="s">
        <v>1</v>
      </c>
      <c r="M142" s="4"/>
      <c r="N142" s="3">
        <v>0</v>
      </c>
      <c r="O142" s="3"/>
      <c r="P142" s="3"/>
      <c r="Q142" s="3"/>
      <c r="R142" s="3"/>
      <c r="S142" s="19"/>
      <c r="T142" s="19"/>
      <c r="U142" s="2">
        <f>DATEDIF(Table1[[#This Row],[Start Date*]],Table1[[#This Row],[End Date*]],"d")</f>
        <v>0</v>
      </c>
      <c r="V142" s="18">
        <f>SUM(Table1[[#This Row],[DB]:[EH]])</f>
        <v>0</v>
      </c>
      <c r="W142" s="3"/>
      <c r="X142" s="3"/>
      <c r="Y142" s="3"/>
      <c r="Z142" s="3"/>
      <c r="AC142" s="3"/>
      <c r="AD142" s="8">
        <v>1</v>
      </c>
      <c r="AE142" s="8"/>
      <c r="AF142" s="3">
        <v>0</v>
      </c>
      <c r="AG142" s="3">
        <v>0</v>
      </c>
      <c r="AH142" s="3">
        <v>5</v>
      </c>
      <c r="AI142" s="3">
        <v>1</v>
      </c>
      <c r="AJ142" s="3">
        <v>0</v>
      </c>
      <c r="AK142" s="22">
        <f>SUBTOTAL(9,Table1[[#This Row],[Online Learning]:[Other]])</f>
        <v>6</v>
      </c>
      <c r="AL142" s="22"/>
      <c r="AM142" s="9"/>
      <c r="AN142" s="9"/>
      <c r="AO142" s="9"/>
      <c r="AP142" s="9"/>
      <c r="AQ142" s="9"/>
      <c r="AR142" s="9"/>
      <c r="AS142" s="9"/>
      <c r="AT142" s="6">
        <v>0</v>
      </c>
      <c r="AU142" s="14">
        <f>SUM(Table1[[#This Row],[*Learning Model (Daniel)]:[Other2]])</f>
        <v>0</v>
      </c>
      <c r="AV142" s="3">
        <v>0</v>
      </c>
      <c r="AW142" s="3">
        <v>2</v>
      </c>
      <c r="AX142" s="3">
        <v>1</v>
      </c>
    </row>
    <row r="143" spans="1:50" x14ac:dyDescent="0.25">
      <c r="A143" s="21" t="s">
        <v>30</v>
      </c>
      <c r="B143" s="13" t="s">
        <v>5</v>
      </c>
      <c r="C143" s="13"/>
      <c r="D143" s="13"/>
      <c r="E143" s="13"/>
      <c r="F143" s="13"/>
      <c r="G143" s="20" t="s">
        <v>4</v>
      </c>
      <c r="H143" s="3" t="s">
        <v>3</v>
      </c>
      <c r="I143" s="3"/>
      <c r="J143" s="4" t="s">
        <v>2</v>
      </c>
      <c r="K143" s="4"/>
      <c r="L143" s="11" t="s">
        <v>12</v>
      </c>
      <c r="M143" s="4"/>
      <c r="N143" s="3"/>
      <c r="O143" s="3"/>
      <c r="P143" s="3"/>
      <c r="Q143" s="3"/>
      <c r="R143" s="3"/>
      <c r="S143" s="19"/>
      <c r="T143" s="19"/>
      <c r="U143" s="2">
        <f>DATEDIF(Table1[[#This Row],[Start Date*]],Table1[[#This Row],[End Date*]],"d")</f>
        <v>0</v>
      </c>
      <c r="V143" s="18">
        <f>SUM(Table1[[#This Row],[DB]:[EH]])</f>
        <v>0</v>
      </c>
      <c r="W143" s="3"/>
      <c r="X143" s="3"/>
      <c r="Y143" s="3"/>
      <c r="Z143" s="3"/>
      <c r="AC143" s="3"/>
      <c r="AD143" s="8">
        <v>1</v>
      </c>
      <c r="AE143" s="8"/>
      <c r="AF143" s="3">
        <v>3</v>
      </c>
      <c r="AG143" s="3">
        <v>3</v>
      </c>
      <c r="AH143" s="3">
        <v>4</v>
      </c>
      <c r="AI143" s="3">
        <v>2</v>
      </c>
      <c r="AJ143" s="3">
        <v>0</v>
      </c>
      <c r="AK143" s="17">
        <f>SUBTOTAL(9,Table1[[#This Row],[Online Learning]:[Other]])</f>
        <v>12</v>
      </c>
      <c r="AL143" s="16">
        <v>0</v>
      </c>
      <c r="AM143" s="15">
        <v>5</v>
      </c>
      <c r="AN143" s="6">
        <v>0</v>
      </c>
      <c r="AO143" s="6">
        <v>0</v>
      </c>
      <c r="AP143" s="6">
        <v>1</v>
      </c>
      <c r="AQ143" s="6">
        <v>4</v>
      </c>
      <c r="AR143" s="6">
        <v>3</v>
      </c>
      <c r="AS143" s="6">
        <v>3</v>
      </c>
      <c r="AT143" s="6">
        <v>0</v>
      </c>
      <c r="AU143" s="14">
        <f>SUM(Table1[[#This Row],[*Learning Model (Daniel)]:[Other2]])</f>
        <v>16</v>
      </c>
      <c r="AV143" s="3">
        <v>0</v>
      </c>
      <c r="AW143" s="3">
        <v>0</v>
      </c>
      <c r="AX143" s="3">
        <v>4</v>
      </c>
    </row>
    <row r="144" spans="1:50" x14ac:dyDescent="0.25">
      <c r="A144" s="21" t="s">
        <v>29</v>
      </c>
      <c r="B144" s="13" t="s">
        <v>5</v>
      </c>
      <c r="C144" s="13"/>
      <c r="D144" s="13"/>
      <c r="E144" s="13"/>
      <c r="F144" s="13"/>
      <c r="G144" s="20" t="s">
        <v>4</v>
      </c>
      <c r="H144" s="3" t="s">
        <v>3</v>
      </c>
      <c r="I144" s="3"/>
      <c r="J144" s="4" t="s">
        <v>2</v>
      </c>
      <c r="K144" s="4"/>
      <c r="L144" s="12" t="s">
        <v>24</v>
      </c>
      <c r="M144" s="4"/>
      <c r="N144" s="3">
        <v>0</v>
      </c>
      <c r="O144" s="3"/>
      <c r="P144" s="3"/>
      <c r="Q144" s="3"/>
      <c r="R144" s="3"/>
      <c r="S144" s="19"/>
      <c r="T144" s="19"/>
      <c r="U144" s="2">
        <f>DATEDIF(Table1[[#This Row],[Start Date*]],Table1[[#This Row],[End Date*]],"d")</f>
        <v>0</v>
      </c>
      <c r="V144" s="18">
        <f>SUM(Table1[[#This Row],[DB]:[EH]])</f>
        <v>0</v>
      </c>
      <c r="W144" s="3"/>
      <c r="X144" s="3"/>
      <c r="Y144" s="3"/>
      <c r="Z144" s="3"/>
      <c r="AC144" s="3"/>
      <c r="AD144" s="8">
        <v>4</v>
      </c>
      <c r="AE144" s="8"/>
      <c r="AF144" s="3">
        <v>2</v>
      </c>
      <c r="AG144" s="3">
        <v>3</v>
      </c>
      <c r="AH144" s="3">
        <v>0</v>
      </c>
      <c r="AI144" s="3">
        <v>0</v>
      </c>
      <c r="AJ144" s="3">
        <v>0</v>
      </c>
      <c r="AK144" s="22">
        <f>SUBTOTAL(9,Table1[[#This Row],[Online Learning]:[Other]])</f>
        <v>5</v>
      </c>
      <c r="AL144" s="16">
        <v>0</v>
      </c>
      <c r="AM144" s="15">
        <v>5</v>
      </c>
      <c r="AN144" s="6">
        <v>2</v>
      </c>
      <c r="AO144" s="6">
        <v>2</v>
      </c>
      <c r="AP144" s="6">
        <v>2</v>
      </c>
      <c r="AQ144" s="6">
        <v>0</v>
      </c>
      <c r="AR144" s="6">
        <v>2</v>
      </c>
      <c r="AS144" s="6">
        <v>0</v>
      </c>
      <c r="AT144" s="6">
        <v>0</v>
      </c>
      <c r="AU144" s="14">
        <f>SUM(Table1[[#This Row],[*Learning Model (Daniel)]:[Other2]])</f>
        <v>13</v>
      </c>
      <c r="AV144" s="3">
        <v>0</v>
      </c>
      <c r="AW144" s="3">
        <v>0</v>
      </c>
      <c r="AX144" s="3">
        <v>2</v>
      </c>
    </row>
    <row r="145" spans="1:53" x14ac:dyDescent="0.25">
      <c r="A145" s="21" t="s">
        <v>28</v>
      </c>
      <c r="B145" s="13" t="s">
        <v>5</v>
      </c>
      <c r="C145" s="13"/>
      <c r="D145" s="13"/>
      <c r="E145" s="13"/>
      <c r="F145" s="13"/>
      <c r="G145" s="20" t="s">
        <v>4</v>
      </c>
      <c r="H145" s="3" t="s">
        <v>3</v>
      </c>
      <c r="I145" s="3" t="s">
        <v>26</v>
      </c>
      <c r="J145" s="4" t="s">
        <v>2</v>
      </c>
      <c r="K145" s="4"/>
      <c r="L145" s="11" t="s">
        <v>1</v>
      </c>
      <c r="M145" s="4"/>
      <c r="N145" s="3"/>
      <c r="O145" s="3"/>
      <c r="P145" s="3"/>
      <c r="Q145" s="3"/>
      <c r="R145" s="3"/>
      <c r="S145" s="19"/>
      <c r="T145" s="19"/>
      <c r="U145" s="2">
        <f>DATEDIF(Table1[[#This Row],[Start Date*]],Table1[[#This Row],[End Date*]],"d")</f>
        <v>0</v>
      </c>
      <c r="V145" s="18">
        <f>SUM(Table1[[#This Row],[DB]:[EH]])</f>
        <v>0</v>
      </c>
      <c r="W145" s="3"/>
      <c r="X145" s="3"/>
      <c r="Y145" s="3"/>
      <c r="Z145" s="3"/>
      <c r="AC145" s="3"/>
      <c r="AD145" s="8">
        <v>2</v>
      </c>
      <c r="AE145" s="8"/>
      <c r="AF145" s="3">
        <v>1</v>
      </c>
      <c r="AG145" s="3">
        <v>4</v>
      </c>
      <c r="AH145" s="3">
        <v>3</v>
      </c>
      <c r="AI145" s="3">
        <v>2</v>
      </c>
      <c r="AJ145" s="3">
        <v>0</v>
      </c>
      <c r="AK145" s="17">
        <f>SUBTOTAL(9,Table1[[#This Row],[Online Learning]:[Other]])</f>
        <v>10</v>
      </c>
      <c r="AL145" s="16">
        <v>0</v>
      </c>
      <c r="AM145" s="15">
        <v>0</v>
      </c>
      <c r="AN145" s="6">
        <v>1</v>
      </c>
      <c r="AO145" s="6">
        <v>2</v>
      </c>
      <c r="AP145" s="6">
        <v>2</v>
      </c>
      <c r="AQ145" s="6">
        <v>0</v>
      </c>
      <c r="AR145" s="6">
        <v>2</v>
      </c>
      <c r="AS145" s="6">
        <v>5</v>
      </c>
      <c r="AT145" s="6">
        <v>0</v>
      </c>
      <c r="AU145" s="14">
        <f>SUM(Table1[[#This Row],[*Learning Model (Daniel)]:[Other2]])</f>
        <v>12</v>
      </c>
      <c r="AV145" s="3">
        <v>0</v>
      </c>
      <c r="AW145" s="3">
        <v>0</v>
      </c>
      <c r="AX145" s="3">
        <v>2</v>
      </c>
    </row>
    <row r="146" spans="1:53" x14ac:dyDescent="0.25">
      <c r="A146" s="21" t="s">
        <v>27</v>
      </c>
      <c r="B146" s="13" t="s">
        <v>5</v>
      </c>
      <c r="C146" s="13"/>
      <c r="D146" s="13"/>
      <c r="E146" s="13"/>
      <c r="F146" s="13"/>
      <c r="G146" s="20" t="s">
        <v>4</v>
      </c>
      <c r="H146" s="3" t="s">
        <v>3</v>
      </c>
      <c r="I146" s="3" t="s">
        <v>26</v>
      </c>
      <c r="J146" s="4" t="s">
        <v>2</v>
      </c>
      <c r="K146" s="4"/>
      <c r="L146" s="12" t="s">
        <v>1</v>
      </c>
      <c r="M146" s="4"/>
      <c r="N146" s="3">
        <v>0</v>
      </c>
      <c r="O146" s="3"/>
      <c r="P146" s="3"/>
      <c r="Q146" s="3"/>
      <c r="R146" s="3"/>
      <c r="S146" s="19"/>
      <c r="T146" s="19"/>
      <c r="U146" s="2">
        <f>DATEDIF(Table1[[#This Row],[Start Date*]],Table1[[#This Row],[End Date*]],"d")</f>
        <v>0</v>
      </c>
      <c r="V146" s="18">
        <f>SUM(Table1[[#This Row],[DB]:[EH]])</f>
        <v>0</v>
      </c>
      <c r="W146" s="3"/>
      <c r="X146" s="3"/>
      <c r="Y146" s="3"/>
      <c r="Z146" s="3"/>
      <c r="AC146" s="3"/>
      <c r="AD146" s="8">
        <v>3</v>
      </c>
      <c r="AE146" s="8"/>
      <c r="AF146" s="3">
        <v>2</v>
      </c>
      <c r="AG146" s="3">
        <v>2</v>
      </c>
      <c r="AH146" s="3">
        <v>2</v>
      </c>
      <c r="AI146" s="3">
        <v>0</v>
      </c>
      <c r="AJ146" s="3">
        <v>0</v>
      </c>
      <c r="AK146" s="22">
        <f>SUBTOTAL(9,Table1[[#This Row],[Online Learning]:[Other]])</f>
        <v>6</v>
      </c>
      <c r="AL146" s="16">
        <v>0</v>
      </c>
      <c r="AM146" s="15">
        <v>0</v>
      </c>
      <c r="AN146" s="6">
        <v>0</v>
      </c>
      <c r="AO146" s="6">
        <v>0</v>
      </c>
      <c r="AP146" s="6">
        <v>0</v>
      </c>
      <c r="AQ146" s="6">
        <v>0</v>
      </c>
      <c r="AR146" s="6">
        <v>0</v>
      </c>
      <c r="AS146" s="6">
        <v>5</v>
      </c>
      <c r="AT146" s="6">
        <v>3</v>
      </c>
      <c r="AU146" s="14">
        <f>SUM(Table1[[#This Row],[*Learning Model (Daniel)]:[Other2]])</f>
        <v>8</v>
      </c>
      <c r="AV146" s="3">
        <v>1</v>
      </c>
      <c r="AW146" s="3">
        <v>1</v>
      </c>
      <c r="AX146" s="3">
        <v>3</v>
      </c>
    </row>
    <row r="147" spans="1:53" x14ac:dyDescent="0.25">
      <c r="A147" s="21" t="s">
        <v>25</v>
      </c>
      <c r="B147" s="13" t="s">
        <v>5</v>
      </c>
      <c r="C147" s="13"/>
      <c r="D147" s="13"/>
      <c r="E147" s="13"/>
      <c r="F147" s="13"/>
      <c r="G147" s="20" t="s">
        <v>4</v>
      </c>
      <c r="H147" s="3" t="s">
        <v>3</v>
      </c>
      <c r="I147" s="3"/>
      <c r="J147" s="4" t="s">
        <v>2</v>
      </c>
      <c r="K147" s="4"/>
      <c r="L147" s="12" t="s">
        <v>24</v>
      </c>
      <c r="M147" s="4"/>
      <c r="N147" s="3">
        <v>0</v>
      </c>
      <c r="O147" s="3"/>
      <c r="P147" s="3"/>
      <c r="Q147" s="3"/>
      <c r="R147" s="3"/>
      <c r="S147" s="19"/>
      <c r="T147" s="3"/>
      <c r="U147" s="2">
        <f>DATEDIF(Table1[[#This Row],[Start Date*]],Table1[[#This Row],[End Date*]],"d")</f>
        <v>0</v>
      </c>
      <c r="V147" s="18">
        <f>SUM(Table1[[#This Row],[DB]:[EH]])</f>
        <v>0</v>
      </c>
      <c r="W147" s="3"/>
      <c r="X147" s="3"/>
      <c r="Y147" s="3"/>
      <c r="Z147" s="3"/>
      <c r="AC147" s="3"/>
      <c r="AD147" s="8">
        <v>2</v>
      </c>
      <c r="AE147" s="8"/>
      <c r="AF147" s="3">
        <v>2</v>
      </c>
      <c r="AG147" s="3">
        <v>3</v>
      </c>
      <c r="AH147" s="3">
        <v>1</v>
      </c>
      <c r="AI147" s="3">
        <v>0</v>
      </c>
      <c r="AJ147" s="3">
        <v>0</v>
      </c>
      <c r="AK147" s="22">
        <f>SUBTOTAL(9,Table1[[#This Row],[Online Learning]:[Other]])</f>
        <v>6</v>
      </c>
      <c r="AL147" s="16">
        <v>0</v>
      </c>
      <c r="AM147" s="15">
        <v>0</v>
      </c>
      <c r="AN147" s="6">
        <v>0</v>
      </c>
      <c r="AO147" s="6">
        <v>0</v>
      </c>
      <c r="AP147" s="6">
        <v>3</v>
      </c>
      <c r="AQ147" s="6">
        <v>0</v>
      </c>
      <c r="AR147" s="6">
        <v>4</v>
      </c>
      <c r="AS147" s="6">
        <v>0</v>
      </c>
      <c r="AT147" s="6">
        <v>0</v>
      </c>
      <c r="AU147" s="14">
        <f>SUM(Table1[[#This Row],[*Learning Model (Daniel)]:[Other2]])</f>
        <v>7</v>
      </c>
      <c r="AV147" s="3">
        <v>0</v>
      </c>
      <c r="AW147" s="3">
        <v>0</v>
      </c>
      <c r="AX147" s="3">
        <v>3</v>
      </c>
    </row>
    <row r="148" spans="1:53" x14ac:dyDescent="0.25">
      <c r="A148" s="21" t="s">
        <v>23</v>
      </c>
      <c r="B148" s="13" t="s">
        <v>5</v>
      </c>
      <c r="C148" s="13"/>
      <c r="D148" s="13"/>
      <c r="E148" s="13"/>
      <c r="F148" s="13"/>
      <c r="G148" s="20" t="s">
        <v>4</v>
      </c>
      <c r="H148" s="3" t="s">
        <v>3</v>
      </c>
      <c r="I148" s="3" t="s">
        <v>22</v>
      </c>
      <c r="J148" s="4" t="s">
        <v>21</v>
      </c>
      <c r="K148" s="4"/>
      <c r="L148" s="12"/>
      <c r="M148" s="4"/>
      <c r="N148" s="3">
        <v>100</v>
      </c>
      <c r="O148" s="3"/>
      <c r="P148" s="3" t="s">
        <v>20</v>
      </c>
      <c r="Q148" s="3" t="s">
        <v>19</v>
      </c>
      <c r="R148" s="3">
        <v>2016</v>
      </c>
      <c r="S148" s="19">
        <v>42644</v>
      </c>
      <c r="T148" s="19">
        <v>42705</v>
      </c>
      <c r="U148" s="2">
        <f>DATEDIF(Table1[[#This Row],[Start Date*]],Table1[[#This Row],[End Date*]],"d")</f>
        <v>61</v>
      </c>
      <c r="V148" s="18">
        <f>SUM(Table1[[#This Row],[DB]:[EH]])</f>
        <v>30</v>
      </c>
      <c r="W148" s="3"/>
      <c r="X148" s="3">
        <v>30</v>
      </c>
      <c r="Y148" s="3"/>
      <c r="Z148" s="3"/>
      <c r="AC148" s="3"/>
      <c r="AD148" s="12"/>
      <c r="AE148" s="12"/>
      <c r="AF148" s="3"/>
      <c r="AG148" s="3"/>
      <c r="AH148" s="3"/>
      <c r="AI148" s="3"/>
      <c r="AJ148" s="3"/>
      <c r="AK148" s="22"/>
      <c r="AL148" s="22"/>
      <c r="AM148" s="9"/>
      <c r="AN148" s="9"/>
      <c r="AO148" s="9"/>
      <c r="AP148" s="9"/>
      <c r="AQ148" s="9"/>
      <c r="AR148" s="9"/>
      <c r="AS148" s="9"/>
      <c r="AT148" s="6">
        <v>0</v>
      </c>
      <c r="AU148" s="14">
        <f>SUM(Table1[[#This Row],[*Learning Model (Daniel)]:[Other2]])</f>
        <v>0</v>
      </c>
      <c r="AV148" s="3"/>
      <c r="AW148" s="3"/>
      <c r="AX148" s="3"/>
    </row>
    <row r="149" spans="1:53" x14ac:dyDescent="0.25">
      <c r="A149" s="21" t="s">
        <v>18</v>
      </c>
      <c r="B149" s="13" t="s">
        <v>5</v>
      </c>
      <c r="C149" s="13"/>
      <c r="D149" s="13"/>
      <c r="E149" s="13"/>
      <c r="F149" s="13"/>
      <c r="G149" s="20" t="s">
        <v>4</v>
      </c>
      <c r="H149" s="3" t="s">
        <v>3</v>
      </c>
      <c r="I149" s="3"/>
      <c r="J149" s="4" t="s">
        <v>2</v>
      </c>
      <c r="K149" s="4"/>
      <c r="L149" s="12" t="s">
        <v>1</v>
      </c>
      <c r="M149" s="4"/>
      <c r="N149" s="3">
        <v>0</v>
      </c>
      <c r="O149" s="3"/>
      <c r="P149" s="3"/>
      <c r="Q149" s="3"/>
      <c r="R149" s="3"/>
      <c r="S149" s="19"/>
      <c r="T149" s="3"/>
      <c r="U149" s="2">
        <f>DATEDIF(Table1[[#This Row],[Start Date*]],Table1[[#This Row],[End Date*]],"d")</f>
        <v>0</v>
      </c>
      <c r="V149" s="18">
        <f>SUM(Table1[[#This Row],[DB]:[EH]])</f>
        <v>50</v>
      </c>
      <c r="W149" s="3"/>
      <c r="X149" s="3">
        <v>20</v>
      </c>
      <c r="Y149" s="3"/>
      <c r="Z149" s="3">
        <v>30</v>
      </c>
      <c r="AC149" s="3"/>
      <c r="AD149" s="8">
        <v>4</v>
      </c>
      <c r="AE149" s="8"/>
      <c r="AF149" s="3">
        <v>3</v>
      </c>
      <c r="AG149" s="3">
        <v>1</v>
      </c>
      <c r="AH149" s="3">
        <v>0</v>
      </c>
      <c r="AI149" s="3">
        <v>0</v>
      </c>
      <c r="AJ149" s="3">
        <v>0</v>
      </c>
      <c r="AK149" s="22">
        <f>SUBTOTAL(9,Table1[[#This Row],[Online Learning]:[Other]])</f>
        <v>4</v>
      </c>
      <c r="AL149" s="16">
        <v>0</v>
      </c>
      <c r="AM149" s="15">
        <v>0</v>
      </c>
      <c r="AN149" s="6">
        <v>0</v>
      </c>
      <c r="AO149" s="6">
        <v>3</v>
      </c>
      <c r="AP149" s="6">
        <v>1</v>
      </c>
      <c r="AQ149" s="6">
        <v>0</v>
      </c>
      <c r="AR149" s="6">
        <v>0</v>
      </c>
      <c r="AS149" s="6">
        <v>3</v>
      </c>
      <c r="AT149" s="6">
        <v>0</v>
      </c>
      <c r="AU149" s="14">
        <f>SUM(Table1[[#This Row],[*Learning Model (Daniel)]:[Other2]])</f>
        <v>7</v>
      </c>
      <c r="AV149" s="3">
        <v>0</v>
      </c>
      <c r="AW149" s="3">
        <v>0</v>
      </c>
      <c r="AX149" s="3">
        <v>2</v>
      </c>
    </row>
    <row r="150" spans="1:53" x14ac:dyDescent="0.25">
      <c r="A150" s="21" t="s">
        <v>17</v>
      </c>
      <c r="B150" s="13" t="s">
        <v>5</v>
      </c>
      <c r="C150" s="13"/>
      <c r="D150" s="13"/>
      <c r="E150" s="13"/>
      <c r="F150" s="13"/>
      <c r="G150" s="20" t="s">
        <v>4</v>
      </c>
      <c r="H150" s="3" t="s">
        <v>3</v>
      </c>
      <c r="I150" s="3"/>
      <c r="J150" s="4" t="s">
        <v>2</v>
      </c>
      <c r="K150" s="4"/>
      <c r="L150" s="11" t="s">
        <v>1</v>
      </c>
      <c r="M150" s="4"/>
      <c r="N150" s="3"/>
      <c r="O150" s="3"/>
      <c r="P150" s="3"/>
      <c r="Q150" s="3"/>
      <c r="R150" s="3"/>
      <c r="S150" s="19"/>
      <c r="T150" s="19"/>
      <c r="U150" s="2">
        <f>DATEDIF(Table1[[#This Row],[Start Date*]],Table1[[#This Row],[End Date*]],"d")</f>
        <v>0</v>
      </c>
      <c r="V150" s="18">
        <f>SUM(Table1[[#This Row],[DB]:[EH]])</f>
        <v>0</v>
      </c>
      <c r="W150" s="3"/>
      <c r="X150" s="3"/>
      <c r="Y150" s="3"/>
      <c r="Z150" s="3"/>
      <c r="AC150" s="3"/>
      <c r="AD150" s="8">
        <v>2</v>
      </c>
      <c r="AE150" s="8"/>
      <c r="AF150" s="3">
        <v>2</v>
      </c>
      <c r="AG150" s="3">
        <v>2</v>
      </c>
      <c r="AH150" s="3">
        <v>0</v>
      </c>
      <c r="AI150" s="3">
        <v>0</v>
      </c>
      <c r="AJ150" s="3">
        <v>0</v>
      </c>
      <c r="AK150" s="17">
        <f>SUBTOTAL(9,Table1[[#This Row],[Online Learning]:[Other]])</f>
        <v>4</v>
      </c>
      <c r="AL150" s="16">
        <v>0</v>
      </c>
      <c r="AM150" s="15">
        <v>0</v>
      </c>
      <c r="AN150" s="6">
        <v>0</v>
      </c>
      <c r="AO150" s="6">
        <v>3</v>
      </c>
      <c r="AP150" s="6">
        <v>1</v>
      </c>
      <c r="AQ150" s="6">
        <v>0</v>
      </c>
      <c r="AR150" s="6">
        <v>0</v>
      </c>
      <c r="AS150" s="6">
        <v>3</v>
      </c>
      <c r="AT150" s="6">
        <v>0</v>
      </c>
      <c r="AU150" s="14">
        <f>SUM(Table1[[#This Row],[*Learning Model (Daniel)]:[Other2]])</f>
        <v>7</v>
      </c>
      <c r="AV150" s="3">
        <v>0</v>
      </c>
      <c r="AW150" s="3">
        <v>0</v>
      </c>
      <c r="AX150" s="3">
        <v>3</v>
      </c>
    </row>
    <row r="151" spans="1:53" x14ac:dyDescent="0.25">
      <c r="A151" s="21" t="s">
        <v>16</v>
      </c>
      <c r="B151" s="13" t="s">
        <v>5</v>
      </c>
      <c r="C151" s="13"/>
      <c r="D151" s="13"/>
      <c r="E151" s="13"/>
      <c r="F151" s="13"/>
      <c r="G151" s="20" t="s">
        <v>4</v>
      </c>
      <c r="H151" s="3" t="s">
        <v>3</v>
      </c>
      <c r="I151" s="3"/>
      <c r="J151" s="4" t="s">
        <v>2</v>
      </c>
      <c r="K151" s="4"/>
      <c r="L151" s="11" t="s">
        <v>1</v>
      </c>
      <c r="M151" s="4"/>
      <c r="N151" s="3"/>
      <c r="O151" s="3"/>
      <c r="P151" s="3"/>
      <c r="Q151" s="3"/>
      <c r="R151" s="3"/>
      <c r="S151" s="19"/>
      <c r="T151" s="19"/>
      <c r="U151" s="2">
        <f>DATEDIF(Table1[[#This Row],[Start Date*]],Table1[[#This Row],[End Date*]],"d")</f>
        <v>0</v>
      </c>
      <c r="V151" s="18">
        <f>SUM(Table1[[#This Row],[DB]:[EH]])</f>
        <v>0</v>
      </c>
      <c r="W151" s="3"/>
      <c r="X151" s="3"/>
      <c r="Y151" s="3"/>
      <c r="Z151" s="3"/>
      <c r="AC151" s="3"/>
      <c r="AD151" s="8">
        <v>3</v>
      </c>
      <c r="AE151" s="8"/>
      <c r="AF151" s="3">
        <v>1</v>
      </c>
      <c r="AG151" s="3">
        <v>2</v>
      </c>
      <c r="AH151" s="3">
        <v>2</v>
      </c>
      <c r="AI151" s="3">
        <v>1</v>
      </c>
      <c r="AJ151" s="3">
        <v>0</v>
      </c>
      <c r="AK151" s="17">
        <f>SUBTOTAL(9,Table1[[#This Row],[Online Learning]:[Other]])</f>
        <v>6</v>
      </c>
      <c r="AL151" s="16">
        <v>0</v>
      </c>
      <c r="AM151" s="15">
        <v>0</v>
      </c>
      <c r="AN151" s="6">
        <v>0</v>
      </c>
      <c r="AO151" s="6">
        <v>0</v>
      </c>
      <c r="AP151" s="6">
        <v>0</v>
      </c>
      <c r="AQ151" s="6">
        <v>0</v>
      </c>
      <c r="AR151" s="6">
        <v>4</v>
      </c>
      <c r="AS151" s="6">
        <v>0</v>
      </c>
      <c r="AT151" s="6">
        <v>2</v>
      </c>
      <c r="AU151" s="14">
        <f>SUM(Table1[[#This Row],[*Learning Model (Daniel)]:[Other2]])</f>
        <v>6</v>
      </c>
      <c r="AV151" s="3">
        <v>0</v>
      </c>
      <c r="AW151" s="3">
        <v>0</v>
      </c>
      <c r="AX151" s="3">
        <v>3</v>
      </c>
    </row>
    <row r="152" spans="1:53" x14ac:dyDescent="0.25">
      <c r="A152" s="21" t="s">
        <v>15</v>
      </c>
      <c r="B152" s="13" t="s">
        <v>5</v>
      </c>
      <c r="C152" s="13"/>
      <c r="D152" s="13"/>
      <c r="E152" s="13"/>
      <c r="F152" s="13"/>
      <c r="G152" s="20" t="s">
        <v>4</v>
      </c>
      <c r="H152" s="3" t="s">
        <v>3</v>
      </c>
      <c r="I152" s="3"/>
      <c r="J152" s="4" t="s">
        <v>2</v>
      </c>
      <c r="K152" s="4"/>
      <c r="L152" s="12" t="s">
        <v>1</v>
      </c>
      <c r="M152" s="4"/>
      <c r="N152" s="3">
        <v>0</v>
      </c>
      <c r="O152" s="3"/>
      <c r="P152" s="3"/>
      <c r="Q152" s="3"/>
      <c r="R152" s="3"/>
      <c r="S152" s="19"/>
      <c r="T152" s="3"/>
      <c r="U152" s="2">
        <f>DATEDIF(Table1[[#This Row],[Start Date*]],Table1[[#This Row],[End Date*]],"d")</f>
        <v>0</v>
      </c>
      <c r="V152" s="18">
        <f>SUM(Table1[[#This Row],[DB]:[EH]])</f>
        <v>0</v>
      </c>
      <c r="W152" s="3"/>
      <c r="X152" s="3"/>
      <c r="Y152" s="3"/>
      <c r="Z152" s="3"/>
      <c r="AC152" s="3"/>
      <c r="AD152" s="8">
        <v>4</v>
      </c>
      <c r="AE152" s="8"/>
      <c r="AF152" s="3">
        <v>1</v>
      </c>
      <c r="AG152" s="3">
        <v>2</v>
      </c>
      <c r="AH152" s="3">
        <v>1</v>
      </c>
      <c r="AI152" s="3">
        <v>0</v>
      </c>
      <c r="AJ152" s="3">
        <v>0</v>
      </c>
      <c r="AK152" s="22">
        <f>SUBTOTAL(9,Table1[[#This Row],[Online Learning]:[Other]])</f>
        <v>4</v>
      </c>
      <c r="AL152" s="16">
        <v>0</v>
      </c>
      <c r="AM152" s="15">
        <v>0</v>
      </c>
      <c r="AN152" s="6">
        <v>0</v>
      </c>
      <c r="AO152" s="6">
        <v>0</v>
      </c>
      <c r="AP152" s="6">
        <v>2</v>
      </c>
      <c r="AQ152" s="6">
        <v>0</v>
      </c>
      <c r="AR152" s="6">
        <v>0</v>
      </c>
      <c r="AS152" s="6">
        <v>4</v>
      </c>
      <c r="AT152" s="6">
        <v>0</v>
      </c>
      <c r="AU152" s="14">
        <f>SUM(Table1[[#This Row],[*Learning Model (Daniel)]:[Other2]])</f>
        <v>6</v>
      </c>
      <c r="AV152" s="3">
        <v>0</v>
      </c>
      <c r="AW152" s="3">
        <v>0</v>
      </c>
      <c r="AX152" s="3">
        <v>3</v>
      </c>
    </row>
    <row r="153" spans="1:53" x14ac:dyDescent="0.25">
      <c r="A153" s="21" t="s">
        <v>14</v>
      </c>
      <c r="B153" s="13" t="s">
        <v>5</v>
      </c>
      <c r="C153" s="13"/>
      <c r="D153" s="13"/>
      <c r="E153" s="13"/>
      <c r="F153" s="13"/>
      <c r="G153" s="20" t="s">
        <v>4</v>
      </c>
      <c r="H153" s="3" t="s">
        <v>3</v>
      </c>
      <c r="I153" s="3"/>
      <c r="J153" s="4" t="s">
        <v>2</v>
      </c>
      <c r="K153" s="4"/>
      <c r="L153" s="11" t="s">
        <v>12</v>
      </c>
      <c r="M153" s="4"/>
      <c r="N153" s="3"/>
      <c r="O153" s="3"/>
      <c r="P153" s="3"/>
      <c r="Q153" s="3"/>
      <c r="R153" s="3"/>
      <c r="S153" s="19"/>
      <c r="T153" s="3"/>
      <c r="U153" s="2">
        <f>DATEDIF(Table1[[#This Row],[Start Date*]],Table1[[#This Row],[End Date*]],"d")</f>
        <v>0</v>
      </c>
      <c r="V153" s="18">
        <f>SUM(Table1[[#This Row],[DB]:[EH]])</f>
        <v>0</v>
      </c>
      <c r="W153" s="3"/>
      <c r="X153" s="3"/>
      <c r="Y153" s="3"/>
      <c r="Z153" s="3"/>
      <c r="AC153" s="3"/>
      <c r="AD153" s="8"/>
      <c r="AE153" s="8"/>
      <c r="AF153" s="3">
        <v>5</v>
      </c>
      <c r="AG153" s="3"/>
      <c r="AH153" s="3"/>
      <c r="AI153" s="3"/>
      <c r="AJ153" s="3"/>
      <c r="AK153" s="17">
        <f>SUBTOTAL(9,Table1[[#This Row],[Online Learning]:[Other]])</f>
        <v>5</v>
      </c>
      <c r="AL153" s="16">
        <v>0</v>
      </c>
      <c r="AM153" s="15">
        <v>0</v>
      </c>
      <c r="AN153" s="6">
        <v>0</v>
      </c>
      <c r="AO153" s="6">
        <v>5</v>
      </c>
      <c r="AP153" s="6">
        <v>0</v>
      </c>
      <c r="AQ153" s="6">
        <v>0</v>
      </c>
      <c r="AR153" s="6">
        <v>0</v>
      </c>
      <c r="AS153" s="6">
        <v>0</v>
      </c>
      <c r="AT153" s="6">
        <v>0</v>
      </c>
      <c r="AU153" s="14">
        <f>SUM(Table1[[#This Row],[*Learning Model (Daniel)]:[Other2]])</f>
        <v>5</v>
      </c>
      <c r="AV153" s="3" t="s">
        <v>11</v>
      </c>
      <c r="AW153" s="3" t="s">
        <v>11</v>
      </c>
      <c r="AX153" s="3" t="s">
        <v>11</v>
      </c>
    </row>
    <row r="154" spans="1:53" x14ac:dyDescent="0.25">
      <c r="A154" s="21" t="s">
        <v>13</v>
      </c>
      <c r="B154" s="13" t="s">
        <v>5</v>
      </c>
      <c r="C154" s="13"/>
      <c r="D154" s="13"/>
      <c r="E154" s="13"/>
      <c r="F154" s="13"/>
      <c r="G154" s="20" t="s">
        <v>4</v>
      </c>
      <c r="H154" s="3" t="s">
        <v>3</v>
      </c>
      <c r="I154" s="3"/>
      <c r="J154" s="4" t="s">
        <v>2</v>
      </c>
      <c r="K154" s="4"/>
      <c r="L154" s="11" t="s">
        <v>12</v>
      </c>
      <c r="M154" s="4"/>
      <c r="N154" s="3"/>
      <c r="O154" s="3"/>
      <c r="P154" s="3"/>
      <c r="Q154" s="3"/>
      <c r="R154" s="3"/>
      <c r="S154" s="19"/>
      <c r="T154" s="3"/>
      <c r="U154" s="2">
        <f>DATEDIF(Table1[[#This Row],[Start Date*]],Table1[[#This Row],[End Date*]],"d")</f>
        <v>0</v>
      </c>
      <c r="V154" s="18">
        <f>SUM(Table1[[#This Row],[DB]:[EH]])</f>
        <v>0</v>
      </c>
      <c r="W154" s="3"/>
      <c r="X154" s="3"/>
      <c r="Y154" s="3"/>
      <c r="Z154" s="3"/>
      <c r="AC154" s="3"/>
      <c r="AD154" s="8"/>
      <c r="AE154" s="8"/>
      <c r="AF154" s="3">
        <v>5</v>
      </c>
      <c r="AG154" s="3"/>
      <c r="AH154" s="3"/>
      <c r="AI154" s="3"/>
      <c r="AJ154" s="3"/>
      <c r="AK154" s="17">
        <f>SUBTOTAL(9,Table1[[#This Row],[Online Learning]:[Other]])</f>
        <v>5</v>
      </c>
      <c r="AL154" s="16">
        <v>0</v>
      </c>
      <c r="AM154" s="15">
        <v>0</v>
      </c>
      <c r="AN154" s="6">
        <v>0</v>
      </c>
      <c r="AO154" s="6">
        <v>5</v>
      </c>
      <c r="AP154" s="6">
        <v>0</v>
      </c>
      <c r="AQ154" s="6">
        <v>0</v>
      </c>
      <c r="AR154" s="6">
        <v>0</v>
      </c>
      <c r="AS154" s="6">
        <v>0</v>
      </c>
      <c r="AT154" s="6">
        <v>0</v>
      </c>
      <c r="AU154" s="14">
        <f>SUM(Table1[[#This Row],[*Learning Model (Daniel)]:[Other2]])</f>
        <v>5</v>
      </c>
      <c r="AV154" s="3" t="s">
        <v>11</v>
      </c>
      <c r="AW154" s="3" t="s">
        <v>11</v>
      </c>
      <c r="AX154" s="3" t="s">
        <v>11</v>
      </c>
    </row>
    <row r="155" spans="1:53" x14ac:dyDescent="0.25">
      <c r="A155" s="21" t="s">
        <v>10</v>
      </c>
      <c r="B155" s="13" t="s">
        <v>5</v>
      </c>
      <c r="C155" s="13"/>
      <c r="D155" s="13"/>
      <c r="E155" s="13"/>
      <c r="F155" s="13"/>
      <c r="G155" s="20" t="s">
        <v>4</v>
      </c>
      <c r="H155" s="3" t="s">
        <v>3</v>
      </c>
      <c r="I155" s="3"/>
      <c r="J155" s="4" t="s">
        <v>2</v>
      </c>
      <c r="K155" s="4"/>
      <c r="L155" s="12" t="s">
        <v>7</v>
      </c>
      <c r="M155" s="4"/>
      <c r="N155" s="3">
        <v>0</v>
      </c>
      <c r="O155" s="3"/>
      <c r="P155" s="3"/>
      <c r="Q155" s="3"/>
      <c r="R155" s="3"/>
      <c r="S155" s="19"/>
      <c r="T155" s="19"/>
      <c r="U155" s="2">
        <f>DATEDIF(Table1[[#This Row],[Start Date*]],Table1[[#This Row],[End Date*]],"d")</f>
        <v>0</v>
      </c>
      <c r="V155" s="18">
        <f>SUM(Table1[[#This Row],[DB]:[EH]])</f>
        <v>0</v>
      </c>
      <c r="W155" s="3"/>
      <c r="X155" s="3"/>
      <c r="Y155" s="3"/>
      <c r="Z155" s="3"/>
      <c r="AC155" s="3"/>
      <c r="AD155" s="8">
        <v>1</v>
      </c>
      <c r="AE155" s="8"/>
      <c r="AF155" s="3">
        <v>2</v>
      </c>
      <c r="AG155" s="3">
        <v>2</v>
      </c>
      <c r="AH155" s="3">
        <v>0</v>
      </c>
      <c r="AI155" s="3">
        <v>0</v>
      </c>
      <c r="AJ155" s="3">
        <v>0</v>
      </c>
      <c r="AK155" s="22">
        <f>SUBTOTAL(9,Table1[[#This Row],[Online Learning]:[Other]])</f>
        <v>4</v>
      </c>
      <c r="AL155" s="16">
        <v>0</v>
      </c>
      <c r="AM155" s="15">
        <v>0</v>
      </c>
      <c r="AN155" s="6">
        <v>0</v>
      </c>
      <c r="AO155" s="6">
        <v>0</v>
      </c>
      <c r="AP155" s="6">
        <v>2</v>
      </c>
      <c r="AQ155" s="6">
        <v>0</v>
      </c>
      <c r="AR155" s="6">
        <v>0</v>
      </c>
      <c r="AS155" s="6">
        <v>3</v>
      </c>
      <c r="AT155" s="6">
        <v>0</v>
      </c>
      <c r="AU155" s="14">
        <f>SUM(Table1[[#This Row],[*Learning Model (Daniel)]:[Other2]])</f>
        <v>5</v>
      </c>
      <c r="AV155" s="3">
        <v>0</v>
      </c>
      <c r="AW155" s="3">
        <v>0</v>
      </c>
      <c r="AX155" s="3">
        <v>2</v>
      </c>
    </row>
    <row r="156" spans="1:53" x14ac:dyDescent="0.25">
      <c r="A156" s="21" t="s">
        <v>9</v>
      </c>
      <c r="B156" s="13" t="s">
        <v>5</v>
      </c>
      <c r="C156" s="13"/>
      <c r="D156" s="13"/>
      <c r="E156" s="13"/>
      <c r="F156" s="13"/>
      <c r="G156" s="20" t="s">
        <v>4</v>
      </c>
      <c r="H156" s="3" t="s">
        <v>3</v>
      </c>
      <c r="I156" s="3" t="s">
        <v>8</v>
      </c>
      <c r="J156" s="4" t="s">
        <v>2</v>
      </c>
      <c r="K156" s="4"/>
      <c r="L156" s="12" t="s">
        <v>7</v>
      </c>
      <c r="M156" s="4"/>
      <c r="N156" s="3">
        <v>0</v>
      </c>
      <c r="O156" s="3"/>
      <c r="P156" s="3"/>
      <c r="Q156" s="3"/>
      <c r="R156" s="3"/>
      <c r="S156" s="19"/>
      <c r="T156" s="3"/>
      <c r="U156" s="2">
        <f>DATEDIF(Table1[[#This Row],[Start Date*]],Table1[[#This Row],[End Date*]],"d")</f>
        <v>0</v>
      </c>
      <c r="V156" s="18">
        <f>SUM(Table1[[#This Row],[DB]:[EH]])</f>
        <v>10</v>
      </c>
      <c r="W156" s="3">
        <v>10</v>
      </c>
      <c r="X156" s="3"/>
      <c r="Y156" s="3"/>
      <c r="Z156" s="3"/>
      <c r="AC156" s="3"/>
      <c r="AD156" s="8">
        <v>1</v>
      </c>
      <c r="AE156" s="8"/>
      <c r="AF156" s="3">
        <v>2</v>
      </c>
      <c r="AG156" s="3">
        <v>0</v>
      </c>
      <c r="AH156" s="3">
        <v>0</v>
      </c>
      <c r="AI156" s="3">
        <v>0</v>
      </c>
      <c r="AJ156" s="3">
        <v>0</v>
      </c>
      <c r="AK156" s="22">
        <f>SUBTOTAL(9,Table1[[#This Row],[Online Learning]:[Other]])</f>
        <v>2</v>
      </c>
      <c r="AL156" s="16">
        <v>0</v>
      </c>
      <c r="AM156" s="15">
        <v>0</v>
      </c>
      <c r="AN156" s="6">
        <v>1</v>
      </c>
      <c r="AO156" s="6">
        <v>3</v>
      </c>
      <c r="AP156" s="6">
        <v>0</v>
      </c>
      <c r="AQ156" s="6">
        <v>0</v>
      </c>
      <c r="AR156" s="6">
        <v>0</v>
      </c>
      <c r="AS156" s="6">
        <v>1</v>
      </c>
      <c r="AT156" s="6">
        <v>0</v>
      </c>
      <c r="AU156" s="14">
        <f>SUM(Table1[[#This Row],[*Learning Model (Daniel)]:[Other2]])</f>
        <v>5</v>
      </c>
      <c r="AV156" s="3">
        <v>0</v>
      </c>
      <c r="AW156" s="3">
        <v>0</v>
      </c>
      <c r="AX156" s="3">
        <v>1</v>
      </c>
    </row>
    <row r="157" spans="1:53" x14ac:dyDescent="0.25">
      <c r="A157" s="21" t="s">
        <v>6</v>
      </c>
      <c r="B157" s="13" t="s">
        <v>5</v>
      </c>
      <c r="C157" s="13"/>
      <c r="D157" s="13"/>
      <c r="E157" s="13"/>
      <c r="F157" s="13"/>
      <c r="G157" s="20" t="s">
        <v>4</v>
      </c>
      <c r="H157" s="3" t="s">
        <v>3</v>
      </c>
      <c r="I157" s="3"/>
      <c r="J157" s="4" t="s">
        <v>2</v>
      </c>
      <c r="K157" s="4"/>
      <c r="L157" s="11" t="s">
        <v>1</v>
      </c>
      <c r="M157" s="4"/>
      <c r="N157" s="3"/>
      <c r="O157" s="3"/>
      <c r="P157" s="3"/>
      <c r="Q157" s="3"/>
      <c r="R157" s="3"/>
      <c r="S157" s="19"/>
      <c r="T157" s="3"/>
      <c r="U157" s="2">
        <f>DATEDIF(Table1[[#This Row],[Start Date*]],Table1[[#This Row],[End Date*]],"d")</f>
        <v>0</v>
      </c>
      <c r="V157" s="18">
        <f>SUM(Table1[[#This Row],[DB]:[EH]])</f>
        <v>0</v>
      </c>
      <c r="W157" s="3"/>
      <c r="X157" s="3"/>
      <c r="Y157" s="3"/>
      <c r="Z157" s="3"/>
      <c r="AC157" s="3"/>
      <c r="AD157" s="8">
        <v>2</v>
      </c>
      <c r="AE157" s="8"/>
      <c r="AF157" s="3">
        <v>2</v>
      </c>
      <c r="AG157" s="3">
        <v>3</v>
      </c>
      <c r="AH157" s="3">
        <v>0</v>
      </c>
      <c r="AI157" s="3">
        <v>0</v>
      </c>
      <c r="AJ157" s="3">
        <v>0</v>
      </c>
      <c r="AK157" s="17">
        <f>SUBTOTAL(9,Table1[[#This Row],[Online Learning]:[Other]])</f>
        <v>5</v>
      </c>
      <c r="AL157" s="16">
        <v>0</v>
      </c>
      <c r="AM157" s="15">
        <v>0</v>
      </c>
      <c r="AN157" s="6">
        <v>0</v>
      </c>
      <c r="AO157" s="6">
        <v>0</v>
      </c>
      <c r="AP157" s="6">
        <v>0</v>
      </c>
      <c r="AQ157" s="6">
        <v>0</v>
      </c>
      <c r="AR157" s="6">
        <v>0</v>
      </c>
      <c r="AS157" s="6">
        <v>0</v>
      </c>
      <c r="AT157" s="6">
        <v>4</v>
      </c>
      <c r="AU157" s="14">
        <f>SUM(Table1[[#This Row],[*Learning Model (Daniel)]:[Other2]])</f>
        <v>4</v>
      </c>
      <c r="AV157" s="3">
        <v>3</v>
      </c>
      <c r="AW157" s="3">
        <v>0</v>
      </c>
      <c r="AX157" s="3">
        <v>3</v>
      </c>
    </row>
    <row r="158" spans="1:53" x14ac:dyDescent="0.25">
      <c r="A158" s="12" t="s">
        <v>0</v>
      </c>
      <c r="B158" s="13"/>
      <c r="C158" s="13"/>
      <c r="D158" s="13"/>
      <c r="E158" s="13"/>
      <c r="F158" s="13"/>
      <c r="G158" s="12"/>
      <c r="J158" s="4"/>
      <c r="K158" s="4"/>
      <c r="L158" s="12"/>
      <c r="M158" s="11"/>
      <c r="N158" s="8"/>
      <c r="O158" s="8"/>
      <c r="P158" s="12"/>
      <c r="Q158" s="8"/>
      <c r="R158" s="8"/>
      <c r="S158" s="11"/>
      <c r="T158" s="11"/>
      <c r="U158" s="8"/>
      <c r="V158" s="10">
        <f>SUBTOTAL(109,Table1[Planned Total Hrs*])</f>
        <v>1300</v>
      </c>
      <c r="W158" s="9">
        <f>SUBTOTAL(109,Table1[DB])</f>
        <v>220</v>
      </c>
      <c r="X158" s="9">
        <f>SUBTOTAL(109,Table1[CH])</f>
        <v>550</v>
      </c>
      <c r="Y158" s="9">
        <f>SUBTOTAL(109,Table1[JH])</f>
        <v>300</v>
      </c>
      <c r="Z158" s="9">
        <f>SUBTOTAL(109,Table1[AB])</f>
        <v>200</v>
      </c>
      <c r="AA158" s="9">
        <f>SUBTOTAL(109,Table1[CO])</f>
        <v>0</v>
      </c>
      <c r="AB158" s="9">
        <f>SUBTOTAL(109,Table1[SW])</f>
        <v>30</v>
      </c>
      <c r="AC158" s="9">
        <f>SUBTOTAL(109,Table1[EH])</f>
        <v>0</v>
      </c>
      <c r="AD158" s="8"/>
      <c r="AE158" s="8"/>
      <c r="AF158" s="7">
        <f>SUBTOTAL(109,Table1[Online Learning])</f>
        <v>77</v>
      </c>
      <c r="AG158" s="7">
        <f>SUBTOTAL(109,Table1[CurrDev])</f>
        <v>64</v>
      </c>
      <c r="AH158" s="7">
        <f>SUBTOTAL(109,Table1[PW])</f>
        <v>50</v>
      </c>
      <c r="AI158" s="7">
        <f>SUBTOTAL(109,Table1[Campus])</f>
        <v>24</v>
      </c>
      <c r="AJ158" s="7">
        <f>SUBTOTAL(109,Table1[Other])</f>
        <v>0</v>
      </c>
      <c r="AK158" s="7"/>
      <c r="AL158" s="7">
        <f>SUBTOTAL(109,Table1[*Learning Model (Daniel)])</f>
        <v>16</v>
      </c>
      <c r="AM158" s="7">
        <f>SUBTOTAL(109,Table1[*Program Eval (Curtis)])</f>
        <v>11</v>
      </c>
      <c r="AN158" s="7">
        <f>SUBTOTAL(109,Table1[*Measuring T&amp;L (Steve)])</f>
        <v>9</v>
      </c>
      <c r="AO158" s="7">
        <f>SUBTOTAL(109,Table1[*Quality Instruction (Josh)])</f>
        <v>40</v>
      </c>
      <c r="AP158" s="7">
        <f>SUBTOTAL(109,Table1[*Quality Course Design (Ben)])</f>
        <v>31</v>
      </c>
      <c r="AQ158" s="7">
        <f>SUBTOTAL(109,Table1[Reduce Cost])</f>
        <v>4</v>
      </c>
      <c r="AR158" s="7">
        <f>SUBTOTAL(109,Table1[Student Experience])</f>
        <v>32</v>
      </c>
      <c r="AS158" s="7">
        <f>SUBTOTAL(109,Table1[Tools])</f>
        <v>32</v>
      </c>
      <c r="AT158" s="6"/>
      <c r="AU158" s="7"/>
      <c r="AV158" s="7">
        <f>SUBTOTAL(109,Table1[R&amp;D: Safe])</f>
        <v>24</v>
      </c>
      <c r="AW158" s="7">
        <f>SUBTOTAL(109,Table1[R&amp;D: Big Bet])</f>
        <v>14</v>
      </c>
      <c r="AX158" s="7">
        <f>SUBTOTAL(109,Table1[Evaluation])</f>
        <v>54</v>
      </c>
    </row>
    <row r="159" spans="1:53" x14ac:dyDescent="0.25">
      <c r="AH159" s="3"/>
      <c r="AI159" s="3"/>
      <c r="AJ159" s="3"/>
      <c r="AK159" s="3"/>
      <c r="AL159" s="3"/>
      <c r="AM159" s="3"/>
      <c r="AN159" s="3"/>
      <c r="AO159" s="3"/>
      <c r="AP159" s="3"/>
      <c r="AQ159" s="3"/>
      <c r="AR159" s="3"/>
      <c r="AS159" s="3"/>
      <c r="AT159" s="6"/>
      <c r="AU159" s="3"/>
      <c r="AV159" s="3"/>
      <c r="AW159" s="3"/>
      <c r="AX159" s="3"/>
      <c r="AY159" s="3"/>
      <c r="AZ159" s="3"/>
      <c r="BA159" s="3"/>
    </row>
    <row r="160" spans="1:53" x14ac:dyDescent="0.25">
      <c r="AT160" s="6"/>
    </row>
    <row r="161" spans="46:46" x14ac:dyDescent="0.25">
      <c r="AT161" s="6"/>
    </row>
    <row r="162" spans="46:46" x14ac:dyDescent="0.25">
      <c r="AT162" s="6"/>
    </row>
    <row r="163" spans="46:46" x14ac:dyDescent="0.25">
      <c r="AT163" s="6"/>
    </row>
    <row r="164" spans="46:46" x14ac:dyDescent="0.25">
      <c r="AT164" s="6"/>
    </row>
    <row r="165" spans="46:46" x14ac:dyDescent="0.25">
      <c r="AT165" s="6"/>
    </row>
    <row r="166" spans="46:46" x14ac:dyDescent="0.25">
      <c r="AT166" s="6"/>
    </row>
    <row r="167" spans="46:46" x14ac:dyDescent="0.25">
      <c r="AT167" s="6"/>
    </row>
    <row r="168" spans="46:46" x14ac:dyDescent="0.25">
      <c r="AT168" s="6"/>
    </row>
    <row r="169" spans="46:46" x14ac:dyDescent="0.25">
      <c r="AT169" s="6"/>
    </row>
    <row r="170" spans="46:46" x14ac:dyDescent="0.25">
      <c r="AT170" s="6"/>
    </row>
    <row r="171" spans="46:46" x14ac:dyDescent="0.25">
      <c r="AT171" s="6"/>
    </row>
    <row r="172" spans="46:46" x14ac:dyDescent="0.25">
      <c r="AT172" s="6"/>
    </row>
    <row r="173" spans="46:46" x14ac:dyDescent="0.25">
      <c r="AT173" s="6"/>
    </row>
    <row r="174" spans="46:46" x14ac:dyDescent="0.25">
      <c r="AT174" s="6"/>
    </row>
    <row r="175" spans="46:46" x14ac:dyDescent="0.25">
      <c r="AT175" s="6"/>
    </row>
    <row r="176" spans="46:46" x14ac:dyDescent="0.25">
      <c r="AT176" s="6"/>
    </row>
  </sheetData>
  <dataConsolidate/>
  <conditionalFormatting sqref="AF158:AJ158">
    <cfRule type="colorScale" priority="10">
      <colorScale>
        <cfvo type="min"/>
        <cfvo type="max"/>
        <color rgb="FFFCFCFF"/>
        <color rgb="FF63BE7B"/>
      </colorScale>
    </cfRule>
  </conditionalFormatting>
  <conditionalFormatting sqref="AF136:AJ157">
    <cfRule type="colorScale" priority="9">
      <colorScale>
        <cfvo type="min"/>
        <cfvo type="max"/>
        <color rgb="FFFCFCFF"/>
        <color rgb="FF63BE7B"/>
      </colorScale>
    </cfRule>
  </conditionalFormatting>
  <conditionalFormatting sqref="AF135:AJ135">
    <cfRule type="colorScale" priority="8">
      <colorScale>
        <cfvo type="min"/>
        <cfvo type="max"/>
        <color rgb="FFFCFCFF"/>
        <color rgb="FF63BE7B"/>
      </colorScale>
    </cfRule>
  </conditionalFormatting>
  <conditionalFormatting sqref="AV158:AX158">
    <cfRule type="colorScale" priority="6">
      <colorScale>
        <cfvo type="min"/>
        <cfvo type="max"/>
        <color rgb="FFFCFCFF"/>
        <color rgb="FF63BE7B"/>
      </colorScale>
    </cfRule>
  </conditionalFormatting>
  <conditionalFormatting sqref="AV148:AX157 AW147:AX147 AV2:AX146">
    <cfRule type="colorScale" priority="12">
      <colorScale>
        <cfvo type="min"/>
        <cfvo type="max"/>
        <color rgb="FFFCFCFF"/>
        <color rgb="FF63BE7B"/>
      </colorScale>
    </cfRule>
  </conditionalFormatting>
  <conditionalFormatting sqref="AL158:AS158">
    <cfRule type="colorScale" priority="3">
      <colorScale>
        <cfvo type="min"/>
        <cfvo type="max"/>
        <color rgb="FFFCFCFF"/>
        <color rgb="FF0070C0"/>
      </colorScale>
    </cfRule>
  </conditionalFormatting>
  <conditionalFormatting sqref="AT158:AT176">
    <cfRule type="colorScale" priority="1">
      <colorScale>
        <cfvo type="min"/>
        <cfvo type="max"/>
        <color rgb="FFFCFCFF"/>
        <color rgb="FF0070C0"/>
      </colorScale>
    </cfRule>
  </conditionalFormatting>
  <conditionalFormatting sqref="AK2:AK134">
    <cfRule type="colorScale" priority="45">
      <colorScale>
        <cfvo type="min"/>
        <cfvo type="max"/>
        <color rgb="FFFCFCFF"/>
        <color rgb="FF63BE7B"/>
      </colorScale>
    </cfRule>
  </conditionalFormatting>
  <conditionalFormatting sqref="AF2:AJ134">
    <cfRule type="colorScale" priority="47">
      <colorScale>
        <cfvo type="min"/>
        <cfvo type="max"/>
        <color rgb="FFFCFCFF"/>
        <color rgb="FF63BE7B"/>
      </colorScale>
    </cfRule>
  </conditionalFormatting>
  <conditionalFormatting sqref="AK2:AK157">
    <cfRule type="colorScale" priority="49">
      <colorScale>
        <cfvo type="min"/>
        <cfvo type="max"/>
        <color rgb="FFFCFCFF"/>
        <color rgb="FF63BE7B"/>
      </colorScale>
    </cfRule>
  </conditionalFormatting>
  <conditionalFormatting sqref="AF2:AJ157">
    <cfRule type="colorScale" priority="51">
      <colorScale>
        <cfvo type="min"/>
        <cfvo type="max"/>
        <color rgb="FFFCFCFF"/>
        <color rgb="FF63BE7B"/>
      </colorScale>
    </cfRule>
  </conditionalFormatting>
  <conditionalFormatting sqref="AL2:AT157">
    <cfRule type="colorScale" priority="53">
      <colorScale>
        <cfvo type="min"/>
        <cfvo type="max"/>
        <color rgb="FFFCFCFF"/>
        <color rgb="FF0070C0"/>
      </colorScale>
    </cfRule>
  </conditionalFormatting>
  <conditionalFormatting sqref="AU2:AU157">
    <cfRule type="colorScale" priority="55">
      <colorScale>
        <cfvo type="min"/>
        <cfvo type="max"/>
        <color rgb="FFFCFCFF"/>
        <color rgb="FF0070C0"/>
      </colorScale>
    </cfRule>
  </conditionalFormatting>
  <hyperlinks>
    <hyperlink ref="G117" r:id="rId1"/>
    <hyperlink ref="G120" r:id="rId2"/>
    <hyperlink ref="G132" r:id="rId3"/>
    <hyperlink ref="G133" r:id="rId4"/>
    <hyperlink ref="G114" r:id="rId5"/>
    <hyperlink ref="G124" r:id="rId6"/>
    <hyperlink ref="G142" r:id="rId7"/>
    <hyperlink ref="G140" r:id="rId8"/>
    <hyperlink ref="G139" r:id="rId9"/>
    <hyperlink ref="G144" r:id="rId10"/>
    <hyperlink ref="G146" r:id="rId11"/>
    <hyperlink ref="G141" r:id="rId12"/>
    <hyperlink ref="G136" r:id="rId13"/>
    <hyperlink ref="G156" r:id="rId14"/>
    <hyperlink ref="G137" r:id="rId15"/>
    <hyperlink ref="G147" r:id="rId16"/>
    <hyperlink ref="G152" r:id="rId17"/>
    <hyperlink ref="G155" r:id="rId18"/>
    <hyperlink ref="G138" r:id="rId19"/>
    <hyperlink ref="G149" r:id="rId20"/>
    <hyperlink ref="G127" r:id="rId21"/>
    <hyperlink ref="G126" r:id="rId22"/>
    <hyperlink ref="G125" r:id="rId23"/>
    <hyperlink ref="G129" r:id="rId24"/>
    <hyperlink ref="G128" r:id="rId25"/>
    <hyperlink ref="G123" r:id="rId26"/>
    <hyperlink ref="G121" r:id="rId27"/>
    <hyperlink ref="G130" r:id="rId28"/>
    <hyperlink ref="G116" r:id="rId29"/>
    <hyperlink ref="G122" r:id="rId30"/>
    <hyperlink ref="G148" r:id="rId31"/>
    <hyperlink ref="G150" r:id="rId32"/>
    <hyperlink ref="G143" r:id="rId33"/>
    <hyperlink ref="G135" r:id="rId34"/>
    <hyperlink ref="G145" r:id="rId35"/>
    <hyperlink ref="G151" r:id="rId36"/>
    <hyperlink ref="G157" r:id="rId37"/>
    <hyperlink ref="G153" r:id="rId38"/>
    <hyperlink ref="G154" r:id="rId39"/>
  </hyperlinks>
  <pageMargins left="0.7" right="0.7" top="0.75" bottom="0.75" header="0.3" footer="0.3"/>
  <pageSetup orientation="portrait" horizontalDpi="360" verticalDpi="360" r:id="rId40"/>
  <tableParts count="1">
    <tablePart r:id="rId41"/>
  </tableParts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>
          <x14:formula1>
            <xm:f>DropDowns!#REF!</xm:f>
          </x14:formula1>
          <xm:sqref>Q159:Q1048576 P2:R157 H2:M157</xm:sqref>
        </x14:dataValidation>
      </x14:dataValidations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/>
  <dimension ref="A1:H111"/>
  <sheetViews>
    <sheetView workbookViewId="0">
      <selection activeCell="G1" sqref="G1"/>
    </sheetView>
  </sheetViews>
  <sheetFormatPr defaultRowHeight="15.75" x14ac:dyDescent="0.25"/>
  <cols>
    <col min="1" max="1" width="21" bestFit="1" customWidth="1"/>
    <col min="2" max="2" width="29" bestFit="1" customWidth="1"/>
    <col min="4" max="4" width="29" bestFit="1" customWidth="1"/>
    <col min="5" max="5" width="38.28515625" customWidth="1"/>
    <col min="6" max="6" width="31.7109375" customWidth="1"/>
    <col min="7" max="7" width="75.85546875" style="45" customWidth="1"/>
  </cols>
  <sheetData>
    <row r="1" spans="1:8" x14ac:dyDescent="0.25">
      <c r="A1" s="37" t="s">
        <v>270</v>
      </c>
      <c r="B1" s="37" t="s">
        <v>196</v>
      </c>
      <c r="C1" s="37" t="b">
        <v>0</v>
      </c>
      <c r="D1" s="37" t="s">
        <v>541</v>
      </c>
      <c r="E1" s="37" t="s">
        <v>197</v>
      </c>
      <c r="F1" s="37" t="s">
        <v>524</v>
      </c>
      <c r="H1" s="37"/>
    </row>
    <row r="2" spans="1:8" x14ac:dyDescent="0.25">
      <c r="A2" s="37" t="s">
        <v>270</v>
      </c>
      <c r="B2" s="44" t="s">
        <v>198</v>
      </c>
      <c r="C2" s="37" t="b">
        <v>0</v>
      </c>
      <c r="D2" s="37" t="s">
        <v>541</v>
      </c>
      <c r="E2" s="37" t="s">
        <v>199</v>
      </c>
      <c r="F2" s="37" t="s">
        <v>525</v>
      </c>
      <c r="H2" s="37"/>
    </row>
    <row r="3" spans="1:8" x14ac:dyDescent="0.25">
      <c r="A3" s="37" t="s">
        <v>270</v>
      </c>
      <c r="B3" s="37" t="s">
        <v>200</v>
      </c>
      <c r="C3" s="37" t="b">
        <v>0</v>
      </c>
      <c r="D3" s="37" t="s">
        <v>541</v>
      </c>
      <c r="E3" s="37" t="s">
        <v>201</v>
      </c>
      <c r="F3" s="37" t="s">
        <v>526</v>
      </c>
      <c r="H3" s="37"/>
    </row>
    <row r="4" spans="1:8" x14ac:dyDescent="0.25">
      <c r="A4" s="37" t="s">
        <v>270</v>
      </c>
      <c r="B4" s="37" t="s">
        <v>202</v>
      </c>
      <c r="C4" s="37" t="b">
        <v>0</v>
      </c>
      <c r="D4" s="37" t="s">
        <v>541</v>
      </c>
      <c r="E4" s="37" t="s">
        <v>203</v>
      </c>
      <c r="F4" s="37" t="s">
        <v>527</v>
      </c>
      <c r="H4" s="37"/>
    </row>
    <row r="5" spans="1:8" x14ac:dyDescent="0.25">
      <c r="A5" s="37" t="s">
        <v>270</v>
      </c>
      <c r="B5" s="37" t="s">
        <v>204</v>
      </c>
      <c r="C5" s="37" t="b">
        <v>0</v>
      </c>
      <c r="D5" s="37" t="s">
        <v>541</v>
      </c>
      <c r="E5" s="37" t="s">
        <v>205</v>
      </c>
      <c r="F5" s="37" t="s">
        <v>528</v>
      </c>
      <c r="H5" s="37"/>
    </row>
    <row r="6" spans="1:8" x14ac:dyDescent="0.25">
      <c r="A6" s="37" t="s">
        <v>270</v>
      </c>
      <c r="B6" s="37" t="s">
        <v>206</v>
      </c>
      <c r="C6" s="37" t="b">
        <v>0</v>
      </c>
      <c r="D6" s="37" t="s">
        <v>541</v>
      </c>
      <c r="E6" s="37" t="s">
        <v>207</v>
      </c>
      <c r="F6" s="37" t="s">
        <v>529</v>
      </c>
      <c r="H6" s="37"/>
    </row>
    <row r="7" spans="1:8" x14ac:dyDescent="0.25">
      <c r="A7" s="37" t="s">
        <v>270</v>
      </c>
      <c r="B7" s="37" t="s">
        <v>208</v>
      </c>
      <c r="C7" s="37" t="b">
        <v>0</v>
      </c>
      <c r="D7" s="37" t="s">
        <v>541</v>
      </c>
      <c r="E7" s="37" t="s">
        <v>209</v>
      </c>
      <c r="F7" s="37" t="s">
        <v>530</v>
      </c>
      <c r="H7" s="37"/>
    </row>
    <row r="8" spans="1:8" x14ac:dyDescent="0.25">
      <c r="A8" s="37" t="s">
        <v>270</v>
      </c>
      <c r="B8" s="37" t="s">
        <v>210</v>
      </c>
      <c r="C8" s="37" t="b">
        <v>0</v>
      </c>
      <c r="D8" s="37" t="s">
        <v>541</v>
      </c>
      <c r="E8" s="37" t="s">
        <v>211</v>
      </c>
      <c r="F8" s="37" t="s">
        <v>531</v>
      </c>
      <c r="H8" s="37"/>
    </row>
    <row r="9" spans="1:8" x14ac:dyDescent="0.25">
      <c r="A9" s="37" t="s">
        <v>270</v>
      </c>
      <c r="B9" s="37" t="s">
        <v>212</v>
      </c>
      <c r="C9" s="37" t="b">
        <v>0</v>
      </c>
      <c r="D9" s="37" t="s">
        <v>541</v>
      </c>
      <c r="E9" s="37" t="s">
        <v>213</v>
      </c>
      <c r="F9" s="37" t="s">
        <v>532</v>
      </c>
      <c r="H9" s="37"/>
    </row>
    <row r="10" spans="1:8" x14ac:dyDescent="0.25">
      <c r="A10" s="37" t="s">
        <v>270</v>
      </c>
      <c r="B10" s="44" t="s">
        <v>214</v>
      </c>
      <c r="C10" s="37" t="b">
        <v>0</v>
      </c>
      <c r="D10" s="37" t="s">
        <v>541</v>
      </c>
      <c r="E10" s="37" t="s">
        <v>215</v>
      </c>
      <c r="F10" s="37" t="s">
        <v>533</v>
      </c>
      <c r="H10" s="37"/>
    </row>
    <row r="11" spans="1:8" x14ac:dyDescent="0.25">
      <c r="A11" s="37" t="s">
        <v>270</v>
      </c>
      <c r="B11" s="44" t="s">
        <v>216</v>
      </c>
      <c r="C11" s="37" t="b">
        <v>0</v>
      </c>
      <c r="D11" s="37" t="s">
        <v>541</v>
      </c>
      <c r="E11" s="37" t="s">
        <v>217</v>
      </c>
      <c r="F11" s="37" t="s">
        <v>534</v>
      </c>
      <c r="H11" s="37"/>
    </row>
    <row r="12" spans="1:8" x14ac:dyDescent="0.25">
      <c r="A12" s="37" t="s">
        <v>270</v>
      </c>
      <c r="B12" s="44" t="s">
        <v>218</v>
      </c>
      <c r="C12" s="37" t="b">
        <v>0</v>
      </c>
      <c r="D12" s="37" t="s">
        <v>541</v>
      </c>
      <c r="E12" s="37" t="s">
        <v>219</v>
      </c>
      <c r="F12" s="37" t="s">
        <v>535</v>
      </c>
      <c r="H12" s="37"/>
    </row>
    <row r="13" spans="1:8" x14ac:dyDescent="0.25">
      <c r="A13" s="37" t="s">
        <v>270</v>
      </c>
      <c r="B13" s="44" t="s">
        <v>220</v>
      </c>
      <c r="C13" s="37" t="b">
        <v>0</v>
      </c>
      <c r="D13" s="37" t="s">
        <v>541</v>
      </c>
      <c r="E13" s="37" t="s">
        <v>221</v>
      </c>
      <c r="F13" s="37" t="s">
        <v>536</v>
      </c>
      <c r="H13" s="37"/>
    </row>
    <row r="14" spans="1:8" x14ac:dyDescent="0.25">
      <c r="A14" s="37" t="s">
        <v>270</v>
      </c>
      <c r="B14" s="44" t="s">
        <v>222</v>
      </c>
      <c r="C14" s="37" t="b">
        <v>0</v>
      </c>
      <c r="D14" s="37" t="s">
        <v>541</v>
      </c>
      <c r="E14" s="37" t="s">
        <v>223</v>
      </c>
      <c r="F14" s="37" t="s">
        <v>537</v>
      </c>
      <c r="H14" s="37"/>
    </row>
    <row r="15" spans="1:8" x14ac:dyDescent="0.25">
      <c r="A15" s="37" t="s">
        <v>270</v>
      </c>
      <c r="B15" s="37" t="s">
        <v>224</v>
      </c>
      <c r="C15" s="37" t="b">
        <v>0</v>
      </c>
      <c r="D15" s="37" t="s">
        <v>541</v>
      </c>
      <c r="E15" s="37" t="s">
        <v>225</v>
      </c>
      <c r="F15" s="37" t="s">
        <v>538</v>
      </c>
      <c r="H15" s="37"/>
    </row>
    <row r="16" spans="1:8" x14ac:dyDescent="0.25">
      <c r="A16" s="37" t="s">
        <v>270</v>
      </c>
      <c r="B16" s="44" t="s">
        <v>226</v>
      </c>
      <c r="C16" s="37" t="b">
        <v>0</v>
      </c>
      <c r="D16" s="37" t="s">
        <v>541</v>
      </c>
      <c r="E16" s="37" t="s">
        <v>227</v>
      </c>
      <c r="F16" s="37" t="s">
        <v>539</v>
      </c>
      <c r="H16" s="37"/>
    </row>
    <row r="17" spans="1:8" x14ac:dyDescent="0.25">
      <c r="A17" s="37" t="s">
        <v>270</v>
      </c>
      <c r="B17" s="44" t="s">
        <v>228</v>
      </c>
      <c r="C17" s="37" t="b">
        <v>0</v>
      </c>
      <c r="D17" s="37" t="s">
        <v>542</v>
      </c>
      <c r="E17" s="37" t="s">
        <v>229</v>
      </c>
      <c r="F17" s="37" t="s">
        <v>540</v>
      </c>
      <c r="H17" s="37"/>
    </row>
    <row r="18" spans="1:8" x14ac:dyDescent="0.25">
      <c r="A18" s="37" t="s">
        <v>270</v>
      </c>
      <c r="B18" s="37" t="s">
        <v>230</v>
      </c>
      <c r="C18" s="37" t="b">
        <v>0</v>
      </c>
      <c r="D18" s="37" t="s">
        <v>542</v>
      </c>
      <c r="E18" s="37" t="s">
        <v>231</v>
      </c>
      <c r="F18" s="37" t="s">
        <v>271</v>
      </c>
      <c r="G18" s="45" t="s">
        <v>551</v>
      </c>
      <c r="H18" s="37"/>
    </row>
    <row r="19" spans="1:8" x14ac:dyDescent="0.25">
      <c r="A19" s="37" t="s">
        <v>270</v>
      </c>
      <c r="B19" s="37" t="s">
        <v>232</v>
      </c>
      <c r="C19" s="37" t="b">
        <v>0</v>
      </c>
      <c r="D19" s="37" t="s">
        <v>542</v>
      </c>
      <c r="E19" s="37" t="s">
        <v>233</v>
      </c>
      <c r="F19" s="37" t="s">
        <v>272</v>
      </c>
      <c r="G19" s="45" t="s">
        <v>551</v>
      </c>
      <c r="H19" s="37"/>
    </row>
    <row r="20" spans="1:8" x14ac:dyDescent="0.25">
      <c r="A20" s="37" t="s">
        <v>270</v>
      </c>
      <c r="B20" s="37" t="s">
        <v>234</v>
      </c>
      <c r="C20" s="37" t="b">
        <v>0</v>
      </c>
      <c r="D20" s="37" t="s">
        <v>542</v>
      </c>
      <c r="E20" s="37" t="s">
        <v>235</v>
      </c>
      <c r="F20" s="37" t="s">
        <v>273</v>
      </c>
      <c r="H20" s="37"/>
    </row>
    <row r="21" spans="1:8" x14ac:dyDescent="0.25">
      <c r="A21" s="37" t="s">
        <v>270</v>
      </c>
      <c r="B21" s="37" t="s">
        <v>236</v>
      </c>
      <c r="C21" s="37" t="b">
        <v>0</v>
      </c>
      <c r="D21" s="37" t="s">
        <v>542</v>
      </c>
      <c r="E21" s="37" t="s">
        <v>237</v>
      </c>
      <c r="F21" s="37" t="s">
        <v>274</v>
      </c>
      <c r="H21" s="37"/>
    </row>
    <row r="22" spans="1:8" x14ac:dyDescent="0.25">
      <c r="A22" s="37" t="s">
        <v>270</v>
      </c>
      <c r="B22" s="37" t="s">
        <v>238</v>
      </c>
      <c r="C22" s="37" t="b">
        <v>0</v>
      </c>
      <c r="D22" s="37" t="s">
        <v>542</v>
      </c>
      <c r="E22" s="37" t="s">
        <v>239</v>
      </c>
      <c r="F22" s="37" t="s">
        <v>275</v>
      </c>
      <c r="H22" s="37"/>
    </row>
    <row r="23" spans="1:8" x14ac:dyDescent="0.25">
      <c r="A23" s="37" t="s">
        <v>270</v>
      </c>
      <c r="B23" s="37" t="s">
        <v>240</v>
      </c>
      <c r="C23" s="37" t="b">
        <v>0</v>
      </c>
      <c r="D23" s="37" t="s">
        <v>542</v>
      </c>
      <c r="E23" s="37" t="s">
        <v>241</v>
      </c>
      <c r="F23" s="37" t="s">
        <v>276</v>
      </c>
      <c r="H23" s="37"/>
    </row>
    <row r="24" spans="1:8" x14ac:dyDescent="0.25">
      <c r="A24" s="37" t="s">
        <v>270</v>
      </c>
      <c r="B24" s="37" t="s">
        <v>242</v>
      </c>
      <c r="C24" s="37" t="b">
        <v>0</v>
      </c>
      <c r="D24" s="37" t="s">
        <v>542</v>
      </c>
      <c r="E24" s="37" t="s">
        <v>243</v>
      </c>
      <c r="F24" s="37" t="s">
        <v>277</v>
      </c>
      <c r="H24" s="37"/>
    </row>
    <row r="25" spans="1:8" x14ac:dyDescent="0.25">
      <c r="A25" s="37" t="s">
        <v>270</v>
      </c>
      <c r="B25" s="37" t="s">
        <v>244</v>
      </c>
      <c r="C25" s="37" t="b">
        <v>0</v>
      </c>
      <c r="D25" s="37" t="s">
        <v>542</v>
      </c>
      <c r="E25" s="37" t="s">
        <v>245</v>
      </c>
      <c r="F25" s="37" t="s">
        <v>278</v>
      </c>
      <c r="H25" s="37"/>
    </row>
    <row r="26" spans="1:8" x14ac:dyDescent="0.25">
      <c r="A26" s="37" t="s">
        <v>270</v>
      </c>
      <c r="B26" s="37" t="s">
        <v>246</v>
      </c>
      <c r="C26" s="37" t="b">
        <v>0</v>
      </c>
      <c r="D26" s="37" t="s">
        <v>542</v>
      </c>
      <c r="E26" s="37" t="s">
        <v>247</v>
      </c>
      <c r="F26" s="37" t="s">
        <v>279</v>
      </c>
      <c r="H26" s="37"/>
    </row>
    <row r="27" spans="1:8" x14ac:dyDescent="0.25">
      <c r="A27" s="37" t="s">
        <v>270</v>
      </c>
      <c r="B27" s="37" t="s">
        <v>248</v>
      </c>
      <c r="C27" s="37" t="b">
        <v>0</v>
      </c>
      <c r="D27" s="44" t="s">
        <v>542</v>
      </c>
      <c r="E27" s="37" t="s">
        <v>249</v>
      </c>
      <c r="F27" s="37" t="s">
        <v>280</v>
      </c>
      <c r="H27" s="37"/>
    </row>
    <row r="28" spans="1:8" x14ac:dyDescent="0.25">
      <c r="A28" s="37" t="s">
        <v>270</v>
      </c>
      <c r="B28" s="44" t="s">
        <v>250</v>
      </c>
      <c r="C28" s="37" t="b">
        <v>0</v>
      </c>
      <c r="D28" s="44" t="s">
        <v>543</v>
      </c>
      <c r="E28" s="37" t="s">
        <v>251</v>
      </c>
      <c r="F28" s="37" t="s">
        <v>281</v>
      </c>
      <c r="H28" s="37"/>
    </row>
    <row r="29" spans="1:8" x14ac:dyDescent="0.25">
      <c r="A29" s="37" t="s">
        <v>270</v>
      </c>
      <c r="B29" s="37" t="s">
        <v>252</v>
      </c>
      <c r="C29" s="37" t="b">
        <v>0</v>
      </c>
      <c r="D29" s="44" t="s">
        <v>543</v>
      </c>
      <c r="E29" s="37" t="s">
        <v>253</v>
      </c>
      <c r="F29" s="37" t="s">
        <v>282</v>
      </c>
      <c r="H29" s="37"/>
    </row>
    <row r="30" spans="1:8" x14ac:dyDescent="0.25">
      <c r="A30" s="37" t="s">
        <v>270</v>
      </c>
      <c r="B30" s="37" t="s">
        <v>254</v>
      </c>
      <c r="C30" s="37" t="b">
        <v>0</v>
      </c>
      <c r="D30" s="44" t="s">
        <v>544</v>
      </c>
      <c r="E30" s="37" t="s">
        <v>255</v>
      </c>
      <c r="F30" s="37" t="s">
        <v>283</v>
      </c>
      <c r="H30" s="37"/>
    </row>
    <row r="31" spans="1:8" x14ac:dyDescent="0.25">
      <c r="A31" s="37" t="s">
        <v>270</v>
      </c>
      <c r="B31" s="37" t="s">
        <v>256</v>
      </c>
      <c r="C31" s="37" t="b">
        <v>0</v>
      </c>
      <c r="D31" s="44" t="s">
        <v>544</v>
      </c>
      <c r="E31" s="37" t="s">
        <v>257</v>
      </c>
      <c r="F31" s="37" t="s">
        <v>284</v>
      </c>
      <c r="H31" s="37"/>
    </row>
    <row r="32" spans="1:8" x14ac:dyDescent="0.25">
      <c r="A32" s="37" t="s">
        <v>270</v>
      </c>
      <c r="B32" s="37" t="s">
        <v>258</v>
      </c>
      <c r="C32" s="37" t="b">
        <v>0</v>
      </c>
      <c r="D32" s="44" t="s">
        <v>545</v>
      </c>
      <c r="E32" s="37" t="s">
        <v>259</v>
      </c>
      <c r="F32" s="37" t="s">
        <v>285</v>
      </c>
      <c r="H32" s="37"/>
    </row>
    <row r="33" spans="1:8" x14ac:dyDescent="0.25">
      <c r="A33" s="37" t="s">
        <v>270</v>
      </c>
      <c r="B33" s="37" t="s">
        <v>260</v>
      </c>
      <c r="C33" s="37" t="b">
        <v>0</v>
      </c>
      <c r="D33" s="37" t="s">
        <v>545</v>
      </c>
      <c r="E33" s="37" t="s">
        <v>261</v>
      </c>
      <c r="F33" s="37" t="s">
        <v>286</v>
      </c>
      <c r="H33" s="37"/>
    </row>
    <row r="34" spans="1:8" x14ac:dyDescent="0.25">
      <c r="A34" s="37" t="s">
        <v>270</v>
      </c>
      <c r="B34" s="37" t="s">
        <v>262</v>
      </c>
      <c r="C34" s="37" t="b">
        <v>0</v>
      </c>
      <c r="D34" s="37" t="s">
        <v>546</v>
      </c>
      <c r="E34" s="37" t="s">
        <v>263</v>
      </c>
      <c r="F34" s="37" t="s">
        <v>287</v>
      </c>
      <c r="H34" s="37"/>
    </row>
    <row r="35" spans="1:8" x14ac:dyDescent="0.25">
      <c r="A35" s="37" t="s">
        <v>270</v>
      </c>
      <c r="B35" s="44" t="s">
        <v>264</v>
      </c>
      <c r="C35" s="37" t="b">
        <v>0</v>
      </c>
      <c r="D35" s="37" t="s">
        <v>546</v>
      </c>
      <c r="E35" s="37" t="s">
        <v>265</v>
      </c>
      <c r="F35" s="37" t="s">
        <v>288</v>
      </c>
      <c r="H35" s="37"/>
    </row>
    <row r="36" spans="1:8" x14ac:dyDescent="0.25">
      <c r="A36" s="37" t="s">
        <v>270</v>
      </c>
      <c r="B36" s="37" t="s">
        <v>266</v>
      </c>
      <c r="C36" s="37" t="b">
        <v>0</v>
      </c>
      <c r="D36" s="37" t="s">
        <v>547</v>
      </c>
      <c r="E36" s="37" t="s">
        <v>267</v>
      </c>
      <c r="F36" s="37" t="s">
        <v>289</v>
      </c>
      <c r="H36" s="37"/>
    </row>
    <row r="37" spans="1:8" x14ac:dyDescent="0.25">
      <c r="A37" s="37" t="s">
        <v>270</v>
      </c>
      <c r="B37" s="37" t="s">
        <v>268</v>
      </c>
      <c r="C37" s="37" t="b">
        <v>0</v>
      </c>
      <c r="D37" s="37" t="s">
        <v>547</v>
      </c>
      <c r="E37" s="37" t="s">
        <v>269</v>
      </c>
      <c r="F37" s="37" t="s">
        <v>290</v>
      </c>
      <c r="H37" s="37"/>
    </row>
    <row r="38" spans="1:8" x14ac:dyDescent="0.25">
      <c r="A38" s="37" t="s">
        <v>387</v>
      </c>
      <c r="B38" s="37" t="s">
        <v>291</v>
      </c>
      <c r="C38" s="37" t="b">
        <v>0</v>
      </c>
      <c r="D38" s="37" t="s">
        <v>388</v>
      </c>
      <c r="E38" s="37" t="s">
        <v>292</v>
      </c>
      <c r="F38" s="37" t="s">
        <v>293</v>
      </c>
      <c r="G38" s="45" t="s">
        <v>552</v>
      </c>
      <c r="H38" s="37"/>
    </row>
    <row r="39" spans="1:8" x14ac:dyDescent="0.25">
      <c r="A39" s="37" t="s">
        <v>387</v>
      </c>
      <c r="B39" s="37" t="s">
        <v>294</v>
      </c>
      <c r="C39" s="37" t="b">
        <v>0</v>
      </c>
      <c r="D39" s="37" t="s">
        <v>388</v>
      </c>
      <c r="E39" s="37" t="s">
        <v>295</v>
      </c>
      <c r="F39" s="37" t="s">
        <v>296</v>
      </c>
      <c r="G39" s="45" t="s">
        <v>552</v>
      </c>
      <c r="H39" s="37"/>
    </row>
    <row r="40" spans="1:8" x14ac:dyDescent="0.25">
      <c r="A40" s="37" t="s">
        <v>387</v>
      </c>
      <c r="B40" s="37" t="s">
        <v>297</v>
      </c>
      <c r="C40" s="37" t="b">
        <v>0</v>
      </c>
      <c r="D40" s="37" t="s">
        <v>388</v>
      </c>
      <c r="E40" s="37" t="s">
        <v>298</v>
      </c>
      <c r="F40" s="37" t="s">
        <v>299</v>
      </c>
      <c r="G40" s="45" t="s">
        <v>552</v>
      </c>
      <c r="H40" s="37"/>
    </row>
    <row r="41" spans="1:8" x14ac:dyDescent="0.25">
      <c r="A41" s="37" t="s">
        <v>387</v>
      </c>
      <c r="B41" s="37" t="s">
        <v>300</v>
      </c>
      <c r="C41" s="37" t="b">
        <v>0</v>
      </c>
      <c r="D41" s="37" t="s">
        <v>388</v>
      </c>
      <c r="E41" s="37" t="s">
        <v>301</v>
      </c>
      <c r="F41" s="37" t="s">
        <v>302</v>
      </c>
      <c r="G41" s="45" t="s">
        <v>552</v>
      </c>
      <c r="H41" s="37"/>
    </row>
    <row r="42" spans="1:8" x14ac:dyDescent="0.25">
      <c r="A42" s="37" t="s">
        <v>387</v>
      </c>
      <c r="B42" s="37" t="s">
        <v>303</v>
      </c>
      <c r="C42" s="37" t="b">
        <v>0</v>
      </c>
      <c r="D42" s="37" t="s">
        <v>388</v>
      </c>
      <c r="E42" s="37" t="s">
        <v>304</v>
      </c>
      <c r="F42" s="37" t="s">
        <v>305</v>
      </c>
      <c r="G42" s="45" t="s">
        <v>552</v>
      </c>
      <c r="H42" s="37"/>
    </row>
    <row r="43" spans="1:8" x14ac:dyDescent="0.25">
      <c r="A43" s="37" t="s">
        <v>387</v>
      </c>
      <c r="B43" s="37" t="s">
        <v>306</v>
      </c>
      <c r="C43" s="37" t="b">
        <v>0</v>
      </c>
      <c r="D43" s="37" t="s">
        <v>388</v>
      </c>
      <c r="E43" s="37" t="s">
        <v>307</v>
      </c>
      <c r="F43" s="37" t="s">
        <v>308</v>
      </c>
      <c r="H43" s="37"/>
    </row>
    <row r="44" spans="1:8" x14ac:dyDescent="0.25">
      <c r="A44" s="37" t="s">
        <v>387</v>
      </c>
      <c r="B44" s="37" t="s">
        <v>309</v>
      </c>
      <c r="C44" s="37" t="b">
        <v>0</v>
      </c>
      <c r="D44" s="37" t="s">
        <v>388</v>
      </c>
      <c r="E44" s="37" t="s">
        <v>310</v>
      </c>
      <c r="F44" s="37" t="s">
        <v>311</v>
      </c>
      <c r="H44" s="37"/>
    </row>
    <row r="45" spans="1:8" x14ac:dyDescent="0.25">
      <c r="A45" s="37" t="s">
        <v>387</v>
      </c>
      <c r="B45" s="37" t="s">
        <v>312</v>
      </c>
      <c r="C45" s="37" t="b">
        <v>0</v>
      </c>
      <c r="D45" s="37" t="s">
        <v>388</v>
      </c>
      <c r="E45" s="37" t="s">
        <v>313</v>
      </c>
      <c r="F45" s="37" t="s">
        <v>314</v>
      </c>
      <c r="G45" s="45" t="s">
        <v>553</v>
      </c>
      <c r="H45" s="37"/>
    </row>
    <row r="46" spans="1:8" x14ac:dyDescent="0.25">
      <c r="A46" s="37" t="s">
        <v>387</v>
      </c>
      <c r="B46" s="37" t="s">
        <v>315</v>
      </c>
      <c r="C46" s="37" t="b">
        <v>0</v>
      </c>
      <c r="D46" s="37" t="s">
        <v>388</v>
      </c>
      <c r="E46" s="37" t="s">
        <v>316</v>
      </c>
      <c r="F46" s="37" t="s">
        <v>317</v>
      </c>
      <c r="G46" s="45" t="s">
        <v>561</v>
      </c>
      <c r="H46" s="37"/>
    </row>
    <row r="47" spans="1:8" x14ac:dyDescent="0.25">
      <c r="A47" s="37" t="s">
        <v>387</v>
      </c>
      <c r="B47" s="37" t="s">
        <v>318</v>
      </c>
      <c r="C47" s="37" t="b">
        <v>0</v>
      </c>
      <c r="D47" s="37" t="s">
        <v>388</v>
      </c>
      <c r="E47" s="37" t="s">
        <v>319</v>
      </c>
      <c r="F47" s="37" t="s">
        <v>320</v>
      </c>
      <c r="G47" s="45" t="s">
        <v>561</v>
      </c>
      <c r="H47" s="37"/>
    </row>
    <row r="48" spans="1:8" x14ac:dyDescent="0.25">
      <c r="A48" s="37" t="s">
        <v>387</v>
      </c>
      <c r="B48" s="37" t="s">
        <v>321</v>
      </c>
      <c r="C48" s="37" t="b">
        <v>0</v>
      </c>
      <c r="D48" s="37" t="s">
        <v>388</v>
      </c>
      <c r="E48" s="37" t="s">
        <v>322</v>
      </c>
      <c r="F48" s="37" t="s">
        <v>323</v>
      </c>
      <c r="G48" s="45" t="s">
        <v>559</v>
      </c>
      <c r="H48" s="37"/>
    </row>
    <row r="49" spans="1:8" x14ac:dyDescent="0.25">
      <c r="A49" s="37" t="s">
        <v>387</v>
      </c>
      <c r="B49" s="37" t="s">
        <v>324</v>
      </c>
      <c r="C49" s="37" t="b">
        <v>0</v>
      </c>
      <c r="D49" s="37" t="s">
        <v>46</v>
      </c>
      <c r="E49" s="37" t="s">
        <v>325</v>
      </c>
      <c r="F49" s="37" t="s">
        <v>326</v>
      </c>
      <c r="G49" s="45" t="s">
        <v>550</v>
      </c>
      <c r="H49" s="37"/>
    </row>
    <row r="50" spans="1:8" x14ac:dyDescent="0.25">
      <c r="A50" s="37" t="s">
        <v>387</v>
      </c>
      <c r="B50" s="37" t="s">
        <v>327</v>
      </c>
      <c r="C50" s="37" t="b">
        <v>0</v>
      </c>
      <c r="D50" s="37" t="s">
        <v>46</v>
      </c>
      <c r="E50" s="37" t="s">
        <v>328</v>
      </c>
      <c r="F50" s="37" t="s">
        <v>329</v>
      </c>
      <c r="G50" s="45" t="s">
        <v>562</v>
      </c>
      <c r="H50" s="37"/>
    </row>
    <row r="51" spans="1:8" x14ac:dyDescent="0.25">
      <c r="A51" s="37" t="s">
        <v>387</v>
      </c>
      <c r="B51" s="37" t="s">
        <v>330</v>
      </c>
      <c r="C51" s="37" t="b">
        <v>0</v>
      </c>
      <c r="D51" s="37" t="s">
        <v>46</v>
      </c>
      <c r="E51" s="37" t="s">
        <v>331</v>
      </c>
      <c r="F51" s="37" t="s">
        <v>332</v>
      </c>
      <c r="G51" s="45" t="s">
        <v>553</v>
      </c>
      <c r="H51" s="37"/>
    </row>
    <row r="52" spans="1:8" x14ac:dyDescent="0.25">
      <c r="A52" s="37" t="s">
        <v>387</v>
      </c>
      <c r="B52" s="37" t="s">
        <v>333</v>
      </c>
      <c r="C52" s="37" t="b">
        <v>0</v>
      </c>
      <c r="D52" s="37" t="s">
        <v>46</v>
      </c>
      <c r="E52" s="37" t="s">
        <v>334</v>
      </c>
      <c r="F52" s="37" t="s">
        <v>335</v>
      </c>
      <c r="G52" s="45" t="s">
        <v>563</v>
      </c>
      <c r="H52" s="37"/>
    </row>
    <row r="53" spans="1:8" x14ac:dyDescent="0.25">
      <c r="A53" s="37" t="s">
        <v>387</v>
      </c>
      <c r="B53" s="37" t="s">
        <v>336</v>
      </c>
      <c r="C53" s="37" t="b">
        <v>0</v>
      </c>
      <c r="D53" s="37" t="s">
        <v>46</v>
      </c>
      <c r="E53" s="37" t="s">
        <v>337</v>
      </c>
      <c r="F53" s="37" t="s">
        <v>338</v>
      </c>
      <c r="G53" s="45" t="s">
        <v>560</v>
      </c>
      <c r="H53" s="37"/>
    </row>
    <row r="54" spans="1:8" x14ac:dyDescent="0.25">
      <c r="A54" s="37" t="s">
        <v>387</v>
      </c>
      <c r="B54" s="37" t="s">
        <v>339</v>
      </c>
      <c r="C54" s="37" t="b">
        <v>0</v>
      </c>
      <c r="D54" s="37" t="s">
        <v>46</v>
      </c>
      <c r="E54" s="37" t="s">
        <v>340</v>
      </c>
      <c r="F54" s="37" t="s">
        <v>341</v>
      </c>
      <c r="G54" s="45" t="s">
        <v>550</v>
      </c>
      <c r="H54" s="37"/>
    </row>
    <row r="55" spans="1:8" x14ac:dyDescent="0.25">
      <c r="A55" s="37" t="s">
        <v>387</v>
      </c>
      <c r="B55" s="37" t="s">
        <v>342</v>
      </c>
      <c r="C55" s="37" t="b">
        <v>0</v>
      </c>
      <c r="D55" s="37" t="s">
        <v>46</v>
      </c>
      <c r="E55" s="37" t="s">
        <v>343</v>
      </c>
      <c r="F55" s="37" t="s">
        <v>344</v>
      </c>
      <c r="G55" s="45" t="s">
        <v>564</v>
      </c>
      <c r="H55" s="37"/>
    </row>
    <row r="56" spans="1:8" x14ac:dyDescent="0.25">
      <c r="A56" s="37" t="s">
        <v>387</v>
      </c>
      <c r="B56" s="37" t="s">
        <v>345</v>
      </c>
      <c r="C56" s="37" t="b">
        <v>0</v>
      </c>
      <c r="D56" s="37" t="s">
        <v>389</v>
      </c>
      <c r="E56" s="37" t="s">
        <v>346</v>
      </c>
      <c r="F56" s="37" t="s">
        <v>347</v>
      </c>
      <c r="G56" s="45" t="s">
        <v>552</v>
      </c>
      <c r="H56" s="37"/>
    </row>
    <row r="57" spans="1:8" x14ac:dyDescent="0.25">
      <c r="A57" s="37" t="s">
        <v>387</v>
      </c>
      <c r="B57" s="37" t="s">
        <v>348</v>
      </c>
      <c r="C57" s="37" t="b">
        <v>0</v>
      </c>
      <c r="D57" s="37" t="s">
        <v>389</v>
      </c>
      <c r="E57" s="37" t="s">
        <v>349</v>
      </c>
      <c r="F57" s="37" t="s">
        <v>350</v>
      </c>
      <c r="G57" s="45" t="s">
        <v>552</v>
      </c>
      <c r="H57" s="37"/>
    </row>
    <row r="58" spans="1:8" x14ac:dyDescent="0.25">
      <c r="A58" s="37" t="s">
        <v>387</v>
      </c>
      <c r="B58" s="37" t="s">
        <v>351</v>
      </c>
      <c r="C58" s="37" t="b">
        <v>0</v>
      </c>
      <c r="D58" s="37" t="s">
        <v>390</v>
      </c>
      <c r="E58" s="37" t="s">
        <v>352</v>
      </c>
      <c r="F58" s="37" t="s">
        <v>353</v>
      </c>
      <c r="G58" s="45" t="s">
        <v>560</v>
      </c>
      <c r="H58" s="37"/>
    </row>
    <row r="59" spans="1:8" x14ac:dyDescent="0.25">
      <c r="A59" s="37" t="s">
        <v>387</v>
      </c>
      <c r="B59" s="37" t="s">
        <v>354</v>
      </c>
      <c r="C59" s="37" t="b">
        <v>0</v>
      </c>
      <c r="D59" s="37" t="s">
        <v>390</v>
      </c>
      <c r="E59" s="37" t="s">
        <v>355</v>
      </c>
      <c r="F59" s="37" t="s">
        <v>356</v>
      </c>
      <c r="G59" s="45" t="s">
        <v>560</v>
      </c>
      <c r="H59" s="37"/>
    </row>
    <row r="60" spans="1:8" x14ac:dyDescent="0.25">
      <c r="A60" s="37" t="s">
        <v>387</v>
      </c>
      <c r="B60" s="37" t="s">
        <v>357</v>
      </c>
      <c r="C60" s="37" t="b">
        <v>0</v>
      </c>
      <c r="D60" s="37" t="s">
        <v>390</v>
      </c>
      <c r="E60" s="37" t="s">
        <v>358</v>
      </c>
      <c r="F60" s="37" t="s">
        <v>359</v>
      </c>
      <c r="G60" s="45" t="s">
        <v>560</v>
      </c>
      <c r="H60" s="37"/>
    </row>
    <row r="61" spans="1:8" x14ac:dyDescent="0.25">
      <c r="A61" s="37" t="s">
        <v>387</v>
      </c>
      <c r="B61" s="37" t="s">
        <v>360</v>
      </c>
      <c r="C61" s="37" t="b">
        <v>0</v>
      </c>
      <c r="D61" s="37" t="s">
        <v>390</v>
      </c>
      <c r="E61" s="37" t="s">
        <v>361</v>
      </c>
      <c r="F61" s="37" t="s">
        <v>362</v>
      </c>
      <c r="G61" s="45" t="s">
        <v>560</v>
      </c>
      <c r="H61" s="37"/>
    </row>
    <row r="62" spans="1:8" x14ac:dyDescent="0.25">
      <c r="A62" s="37" t="s">
        <v>387</v>
      </c>
      <c r="B62" s="37" t="s">
        <v>363</v>
      </c>
      <c r="C62" s="37" t="b">
        <v>0</v>
      </c>
      <c r="D62" s="37" t="s">
        <v>391</v>
      </c>
      <c r="E62" s="37" t="s">
        <v>364</v>
      </c>
      <c r="F62" s="37" t="s">
        <v>365</v>
      </c>
      <c r="G62" s="45" t="s">
        <v>565</v>
      </c>
      <c r="H62" s="37"/>
    </row>
    <row r="63" spans="1:8" x14ac:dyDescent="0.25">
      <c r="A63" s="37" t="s">
        <v>387</v>
      </c>
      <c r="B63" s="37" t="s">
        <v>366</v>
      </c>
      <c r="C63" s="37" t="b">
        <v>0</v>
      </c>
      <c r="D63" s="37" t="s">
        <v>391</v>
      </c>
      <c r="E63" s="37" t="s">
        <v>367</v>
      </c>
      <c r="F63" s="37" t="s">
        <v>368</v>
      </c>
      <c r="G63" s="45" t="s">
        <v>565</v>
      </c>
      <c r="H63" s="37"/>
    </row>
    <row r="64" spans="1:8" x14ac:dyDescent="0.25">
      <c r="A64" s="37" t="s">
        <v>387</v>
      </c>
      <c r="B64" s="37" t="s">
        <v>369</v>
      </c>
      <c r="C64" s="37" t="b">
        <v>0</v>
      </c>
      <c r="D64" s="37" t="s">
        <v>391</v>
      </c>
      <c r="E64" s="37" t="s">
        <v>370</v>
      </c>
      <c r="F64" s="37" t="s">
        <v>371</v>
      </c>
      <c r="G64" s="45" t="s">
        <v>562</v>
      </c>
      <c r="H64" s="37"/>
    </row>
    <row r="65" spans="1:8" x14ac:dyDescent="0.25">
      <c r="A65" s="37" t="s">
        <v>387</v>
      </c>
      <c r="B65" s="37" t="s">
        <v>372</v>
      </c>
      <c r="C65" s="37" t="b">
        <v>0</v>
      </c>
      <c r="D65" s="37" t="s">
        <v>392</v>
      </c>
      <c r="E65" s="37" t="s">
        <v>373</v>
      </c>
      <c r="F65" s="37" t="s">
        <v>374</v>
      </c>
      <c r="G65" s="45" t="s">
        <v>552</v>
      </c>
      <c r="H65" s="37"/>
    </row>
    <row r="66" spans="1:8" x14ac:dyDescent="0.25">
      <c r="A66" s="37" t="s">
        <v>387</v>
      </c>
      <c r="B66" s="37" t="s">
        <v>375</v>
      </c>
      <c r="C66" s="37" t="b">
        <v>0</v>
      </c>
      <c r="D66" s="37" t="s">
        <v>392</v>
      </c>
      <c r="E66" s="37" t="s">
        <v>376</v>
      </c>
      <c r="F66" s="37" t="s">
        <v>377</v>
      </c>
      <c r="G66" s="45" t="s">
        <v>553</v>
      </c>
      <c r="H66" s="37"/>
    </row>
    <row r="67" spans="1:8" x14ac:dyDescent="0.25">
      <c r="A67" s="37" t="s">
        <v>387</v>
      </c>
      <c r="B67" s="37" t="s">
        <v>378</v>
      </c>
      <c r="C67" s="37" t="b">
        <v>0</v>
      </c>
      <c r="D67" s="37" t="s">
        <v>392</v>
      </c>
      <c r="E67" s="37" t="s">
        <v>379</v>
      </c>
      <c r="F67" s="37" t="s">
        <v>380</v>
      </c>
      <c r="G67" s="45" t="s">
        <v>553</v>
      </c>
      <c r="H67" s="37"/>
    </row>
    <row r="68" spans="1:8" x14ac:dyDescent="0.25">
      <c r="A68" s="37" t="s">
        <v>387</v>
      </c>
      <c r="B68" s="37" t="s">
        <v>381</v>
      </c>
      <c r="C68" s="37" t="b">
        <v>0</v>
      </c>
      <c r="D68" s="37" t="s">
        <v>392</v>
      </c>
      <c r="E68" s="37" t="s">
        <v>382</v>
      </c>
      <c r="F68" s="37" t="s">
        <v>383</v>
      </c>
      <c r="G68" s="45" t="s">
        <v>553</v>
      </c>
      <c r="H68" s="37"/>
    </row>
    <row r="69" spans="1:8" x14ac:dyDescent="0.25">
      <c r="A69" s="37" t="s">
        <v>387</v>
      </c>
      <c r="B69" s="37" t="s">
        <v>384</v>
      </c>
      <c r="C69" s="37" t="b">
        <v>0</v>
      </c>
      <c r="D69" s="37" t="s">
        <v>392</v>
      </c>
      <c r="E69" s="37" t="s">
        <v>385</v>
      </c>
      <c r="F69" s="37" t="s">
        <v>386</v>
      </c>
      <c r="H69" s="37"/>
    </row>
    <row r="70" spans="1:8" x14ac:dyDescent="0.25">
      <c r="A70" s="37" t="s">
        <v>513</v>
      </c>
      <c r="B70" s="44" t="s">
        <v>393</v>
      </c>
      <c r="C70" s="37" t="b">
        <v>0</v>
      </c>
      <c r="D70" s="37" t="s">
        <v>514</v>
      </c>
      <c r="E70" s="37" t="s">
        <v>394</v>
      </c>
      <c r="F70" s="37" t="s">
        <v>395</v>
      </c>
      <c r="H70" s="37"/>
    </row>
    <row r="71" spans="1:8" x14ac:dyDescent="0.25">
      <c r="A71" s="37" t="s">
        <v>513</v>
      </c>
      <c r="B71" s="44" t="s">
        <v>396</v>
      </c>
      <c r="C71" s="37" t="b">
        <v>0</v>
      </c>
      <c r="D71" s="37" t="s">
        <v>514</v>
      </c>
      <c r="E71" s="37" t="s">
        <v>397</v>
      </c>
      <c r="F71" s="37" t="s">
        <v>398</v>
      </c>
      <c r="H71" s="37"/>
    </row>
    <row r="72" spans="1:8" x14ac:dyDescent="0.25">
      <c r="A72" s="37" t="s">
        <v>513</v>
      </c>
      <c r="B72" s="37" t="s">
        <v>399</v>
      </c>
      <c r="C72" s="37" t="b">
        <v>0</v>
      </c>
      <c r="D72" s="37" t="s">
        <v>514</v>
      </c>
      <c r="E72" s="37" t="s">
        <v>400</v>
      </c>
      <c r="F72" s="37" t="s">
        <v>401</v>
      </c>
      <c r="G72" s="45" t="s">
        <v>35</v>
      </c>
      <c r="H72" s="37"/>
    </row>
    <row r="73" spans="1:8" x14ac:dyDescent="0.25">
      <c r="A73" s="37" t="s">
        <v>513</v>
      </c>
      <c r="B73" s="37" t="s">
        <v>402</v>
      </c>
      <c r="C73" s="37" t="b">
        <v>0</v>
      </c>
      <c r="D73" s="37" t="s">
        <v>514</v>
      </c>
      <c r="E73" s="37" t="s">
        <v>403</v>
      </c>
      <c r="F73" s="37" t="s">
        <v>404</v>
      </c>
      <c r="G73" s="45" t="s">
        <v>551</v>
      </c>
      <c r="H73" s="37"/>
    </row>
    <row r="74" spans="1:8" x14ac:dyDescent="0.25">
      <c r="A74" s="37" t="s">
        <v>513</v>
      </c>
      <c r="B74" s="37" t="s">
        <v>405</v>
      </c>
      <c r="C74" s="37" t="b">
        <v>0</v>
      </c>
      <c r="D74" s="37" t="s">
        <v>515</v>
      </c>
      <c r="E74" s="37" t="s">
        <v>406</v>
      </c>
      <c r="F74" s="37" t="s">
        <v>407</v>
      </c>
      <c r="G74" s="45" t="s">
        <v>551</v>
      </c>
      <c r="H74" s="37"/>
    </row>
    <row r="75" spans="1:8" x14ac:dyDescent="0.25">
      <c r="A75" s="37" t="s">
        <v>513</v>
      </c>
      <c r="B75" s="37" t="s">
        <v>408</v>
      </c>
      <c r="C75" s="37" t="b">
        <v>0</v>
      </c>
      <c r="D75" s="37" t="s">
        <v>515</v>
      </c>
      <c r="E75" s="37" t="s">
        <v>409</v>
      </c>
      <c r="F75" s="37" t="s">
        <v>410</v>
      </c>
      <c r="H75" s="37"/>
    </row>
    <row r="76" spans="1:8" x14ac:dyDescent="0.25">
      <c r="A76" s="37" t="s">
        <v>513</v>
      </c>
      <c r="B76" s="37" t="s">
        <v>411</v>
      </c>
      <c r="C76" s="37" t="b">
        <v>0</v>
      </c>
      <c r="D76" s="37" t="s">
        <v>515</v>
      </c>
      <c r="E76" s="37" t="s">
        <v>412</v>
      </c>
      <c r="F76" s="37" t="s">
        <v>413</v>
      </c>
      <c r="H76" s="37"/>
    </row>
    <row r="77" spans="1:8" x14ac:dyDescent="0.25">
      <c r="A77" s="37" t="s">
        <v>513</v>
      </c>
      <c r="B77" s="37" t="s">
        <v>414</v>
      </c>
      <c r="C77" s="37" t="b">
        <v>0</v>
      </c>
      <c r="D77" s="37" t="s">
        <v>515</v>
      </c>
      <c r="E77" s="37" t="s">
        <v>415</v>
      </c>
      <c r="F77" s="37" t="s">
        <v>416</v>
      </c>
      <c r="H77" s="37"/>
    </row>
    <row r="78" spans="1:8" x14ac:dyDescent="0.25">
      <c r="A78" s="37" t="s">
        <v>513</v>
      </c>
      <c r="B78" s="37" t="s">
        <v>417</v>
      </c>
      <c r="C78" s="37" t="b">
        <v>0</v>
      </c>
      <c r="D78" s="37" t="s">
        <v>515</v>
      </c>
      <c r="E78" s="37" t="s">
        <v>418</v>
      </c>
      <c r="F78" s="37" t="s">
        <v>419</v>
      </c>
      <c r="H78" s="37"/>
    </row>
    <row r="79" spans="1:8" x14ac:dyDescent="0.25">
      <c r="A79" s="37" t="s">
        <v>513</v>
      </c>
      <c r="B79" s="37" t="s">
        <v>420</v>
      </c>
      <c r="C79" s="37" t="b">
        <v>0</v>
      </c>
      <c r="D79" s="37" t="s">
        <v>515</v>
      </c>
      <c r="E79" s="37" t="s">
        <v>421</v>
      </c>
      <c r="F79" s="37" t="s">
        <v>422</v>
      </c>
      <c r="H79" s="37"/>
    </row>
    <row r="80" spans="1:8" x14ac:dyDescent="0.25">
      <c r="A80" s="37" t="s">
        <v>513</v>
      </c>
      <c r="B80" s="37" t="s">
        <v>423</v>
      </c>
      <c r="C80" s="37" t="b">
        <v>0</v>
      </c>
      <c r="D80" s="37" t="s">
        <v>515</v>
      </c>
      <c r="E80" s="37" t="s">
        <v>424</v>
      </c>
      <c r="F80" s="37" t="s">
        <v>425</v>
      </c>
      <c r="G80" s="45" t="s">
        <v>558</v>
      </c>
      <c r="H80" s="37"/>
    </row>
    <row r="81" spans="1:8" x14ac:dyDescent="0.25">
      <c r="A81" s="37" t="s">
        <v>513</v>
      </c>
      <c r="B81" s="37" t="s">
        <v>426</v>
      </c>
      <c r="C81" s="37" t="b">
        <v>0</v>
      </c>
      <c r="D81" s="37" t="s">
        <v>516</v>
      </c>
      <c r="E81" s="37" t="s">
        <v>427</v>
      </c>
      <c r="F81" s="37" t="s">
        <v>428</v>
      </c>
      <c r="G81" s="45" t="s">
        <v>558</v>
      </c>
      <c r="H81" s="37"/>
    </row>
    <row r="82" spans="1:8" x14ac:dyDescent="0.25">
      <c r="A82" s="37" t="s">
        <v>513</v>
      </c>
      <c r="B82" s="37" t="s">
        <v>429</v>
      </c>
      <c r="C82" s="37" t="b">
        <v>0</v>
      </c>
      <c r="D82" s="37" t="s">
        <v>516</v>
      </c>
      <c r="E82" s="37" t="s">
        <v>430</v>
      </c>
      <c r="F82" s="37" t="s">
        <v>431</v>
      </c>
      <c r="H82" s="37"/>
    </row>
    <row r="83" spans="1:8" x14ac:dyDescent="0.25">
      <c r="A83" s="37" t="s">
        <v>513</v>
      </c>
      <c r="B83" s="37" t="s">
        <v>432</v>
      </c>
      <c r="C83" s="37" t="b">
        <v>0</v>
      </c>
      <c r="D83" s="37" t="s">
        <v>516</v>
      </c>
      <c r="E83" s="37" t="s">
        <v>433</v>
      </c>
      <c r="F83" s="37" t="s">
        <v>434</v>
      </c>
      <c r="H83" s="37"/>
    </row>
    <row r="84" spans="1:8" x14ac:dyDescent="0.25">
      <c r="A84" s="37" t="s">
        <v>513</v>
      </c>
      <c r="B84" s="37" t="s">
        <v>435</v>
      </c>
      <c r="C84" s="37" t="b">
        <v>0</v>
      </c>
      <c r="D84" s="37" t="s">
        <v>516</v>
      </c>
      <c r="E84" s="37" t="s">
        <v>436</v>
      </c>
      <c r="F84" s="37" t="s">
        <v>437</v>
      </c>
      <c r="G84" s="45" t="s">
        <v>551</v>
      </c>
      <c r="H84" s="37"/>
    </row>
    <row r="85" spans="1:8" x14ac:dyDescent="0.25">
      <c r="A85" s="37" t="s">
        <v>513</v>
      </c>
      <c r="B85" s="37" t="s">
        <v>438</v>
      </c>
      <c r="C85" s="37" t="b">
        <v>0</v>
      </c>
      <c r="D85" s="37" t="s">
        <v>516</v>
      </c>
      <c r="E85" s="37" t="s">
        <v>439</v>
      </c>
      <c r="F85" s="37" t="s">
        <v>440</v>
      </c>
      <c r="G85" s="45" t="s">
        <v>551</v>
      </c>
      <c r="H85" s="37"/>
    </row>
    <row r="86" spans="1:8" x14ac:dyDescent="0.25">
      <c r="A86" s="37" t="s">
        <v>513</v>
      </c>
      <c r="B86" s="37" t="s">
        <v>441</v>
      </c>
      <c r="C86" s="37" t="b">
        <v>0</v>
      </c>
      <c r="D86" s="37" t="s">
        <v>516</v>
      </c>
      <c r="E86" s="37" t="s">
        <v>442</v>
      </c>
      <c r="F86" s="37" t="s">
        <v>443</v>
      </c>
      <c r="H86" s="37"/>
    </row>
    <row r="87" spans="1:8" x14ac:dyDescent="0.25">
      <c r="A87" s="37" t="s">
        <v>513</v>
      </c>
      <c r="B87" s="37" t="s">
        <v>444</v>
      </c>
      <c r="C87" s="37" t="b">
        <v>0</v>
      </c>
      <c r="D87" s="37" t="s">
        <v>516</v>
      </c>
      <c r="E87" s="37" t="s">
        <v>445</v>
      </c>
      <c r="F87" s="37" t="s">
        <v>446</v>
      </c>
      <c r="H87" s="37"/>
    </row>
    <row r="88" spans="1:8" x14ac:dyDescent="0.25">
      <c r="A88" s="37" t="s">
        <v>513</v>
      </c>
      <c r="B88" s="37" t="s">
        <v>447</v>
      </c>
      <c r="C88" s="37" t="b">
        <v>0</v>
      </c>
      <c r="D88" s="37" t="s">
        <v>517</v>
      </c>
      <c r="E88" s="37" t="s">
        <v>448</v>
      </c>
      <c r="F88" s="37" t="s">
        <v>449</v>
      </c>
      <c r="G88" s="45" t="s">
        <v>35</v>
      </c>
      <c r="H88" s="37"/>
    </row>
    <row r="89" spans="1:8" x14ac:dyDescent="0.25">
      <c r="A89" s="37" t="s">
        <v>513</v>
      </c>
      <c r="B89" s="37" t="s">
        <v>450</v>
      </c>
      <c r="C89" s="37" t="b">
        <v>0</v>
      </c>
      <c r="D89" s="37" t="s">
        <v>517</v>
      </c>
      <c r="E89" s="37" t="s">
        <v>451</v>
      </c>
      <c r="F89" s="37" t="s">
        <v>452</v>
      </c>
      <c r="G89" s="45" t="s">
        <v>35</v>
      </c>
      <c r="H89" s="37"/>
    </row>
    <row r="90" spans="1:8" x14ac:dyDescent="0.25">
      <c r="A90" s="37" t="s">
        <v>513</v>
      </c>
      <c r="B90" s="37" t="s">
        <v>453</v>
      </c>
      <c r="C90" s="37" t="b">
        <v>0</v>
      </c>
      <c r="D90" s="37" t="s">
        <v>517</v>
      </c>
      <c r="E90" s="37" t="s">
        <v>454</v>
      </c>
      <c r="F90" s="37" t="s">
        <v>455</v>
      </c>
      <c r="G90" s="45" t="s">
        <v>35</v>
      </c>
      <c r="H90" s="37"/>
    </row>
    <row r="91" spans="1:8" x14ac:dyDescent="0.25">
      <c r="A91" s="37" t="s">
        <v>513</v>
      </c>
      <c r="B91" s="37" t="s">
        <v>572</v>
      </c>
      <c r="C91" s="37" t="b">
        <v>0</v>
      </c>
      <c r="D91" s="37" t="s">
        <v>517</v>
      </c>
      <c r="E91" s="37" t="s">
        <v>573</v>
      </c>
      <c r="F91" s="37" t="s">
        <v>574</v>
      </c>
      <c r="G91" s="45" t="s">
        <v>549</v>
      </c>
      <c r="H91" s="37"/>
    </row>
    <row r="92" spans="1:8" x14ac:dyDescent="0.25">
      <c r="A92" s="37" t="s">
        <v>513</v>
      </c>
      <c r="B92" s="37" t="s">
        <v>575</v>
      </c>
      <c r="C92" s="37" t="b">
        <v>0</v>
      </c>
      <c r="D92" s="37" t="s">
        <v>517</v>
      </c>
      <c r="E92" s="37" t="s">
        <v>576</v>
      </c>
      <c r="F92" s="37" t="s">
        <v>577</v>
      </c>
      <c r="G92" s="45" t="s">
        <v>557</v>
      </c>
      <c r="H92" s="37"/>
    </row>
    <row r="93" spans="1:8" x14ac:dyDescent="0.25">
      <c r="A93" s="37" t="s">
        <v>513</v>
      </c>
      <c r="B93" s="37" t="s">
        <v>456</v>
      </c>
      <c r="C93" s="37" t="b">
        <v>0</v>
      </c>
      <c r="D93" s="37" t="s">
        <v>518</v>
      </c>
      <c r="E93" s="37" t="s">
        <v>457</v>
      </c>
      <c r="F93" s="37" t="s">
        <v>458</v>
      </c>
      <c r="G93" s="45" t="s">
        <v>557</v>
      </c>
      <c r="H93" s="37"/>
    </row>
    <row r="94" spans="1:8" x14ac:dyDescent="0.25">
      <c r="A94" s="37" t="s">
        <v>513</v>
      </c>
      <c r="B94" s="37" t="s">
        <v>459</v>
      </c>
      <c r="C94" s="37" t="b">
        <v>0</v>
      </c>
      <c r="D94" s="37" t="s">
        <v>518</v>
      </c>
      <c r="E94" s="37" t="s">
        <v>460</v>
      </c>
      <c r="F94" s="37" t="s">
        <v>461</v>
      </c>
      <c r="G94" s="45" t="s">
        <v>554</v>
      </c>
      <c r="H94" s="37"/>
    </row>
    <row r="95" spans="1:8" x14ac:dyDescent="0.25">
      <c r="A95" s="37" t="s">
        <v>513</v>
      </c>
      <c r="B95" s="37" t="s">
        <v>462</v>
      </c>
      <c r="C95" s="37" t="b">
        <v>0</v>
      </c>
      <c r="D95" s="44" t="s">
        <v>518</v>
      </c>
      <c r="E95" s="37" t="s">
        <v>463</v>
      </c>
      <c r="F95" s="37" t="s">
        <v>464</v>
      </c>
      <c r="G95" s="45" t="s">
        <v>548</v>
      </c>
      <c r="H95" s="37"/>
    </row>
    <row r="96" spans="1:8" x14ac:dyDescent="0.25">
      <c r="A96" s="37" t="s">
        <v>513</v>
      </c>
      <c r="B96" s="44" t="s">
        <v>465</v>
      </c>
      <c r="C96" s="37" t="b">
        <v>0</v>
      </c>
      <c r="D96" s="44" t="s">
        <v>518</v>
      </c>
      <c r="E96" s="37" t="s">
        <v>466</v>
      </c>
      <c r="F96" s="37" t="s">
        <v>467</v>
      </c>
      <c r="G96" s="45" t="s">
        <v>558</v>
      </c>
      <c r="H96" s="37"/>
    </row>
    <row r="97" spans="1:8" x14ac:dyDescent="0.25">
      <c r="A97" s="37" t="s">
        <v>513</v>
      </c>
      <c r="B97" s="44" t="s">
        <v>468</v>
      </c>
      <c r="C97" s="37" t="b">
        <v>0</v>
      </c>
      <c r="D97" s="44" t="s">
        <v>519</v>
      </c>
      <c r="E97" s="37" t="s">
        <v>469</v>
      </c>
      <c r="F97" s="37" t="s">
        <v>470</v>
      </c>
      <c r="G97" s="45" t="s">
        <v>555</v>
      </c>
      <c r="H97" s="37"/>
    </row>
    <row r="98" spans="1:8" x14ac:dyDescent="0.25">
      <c r="A98" s="37" t="s">
        <v>513</v>
      </c>
      <c r="B98" s="44" t="s">
        <v>471</v>
      </c>
      <c r="C98" s="37" t="b">
        <v>0</v>
      </c>
      <c r="D98" s="44" t="s">
        <v>520</v>
      </c>
      <c r="E98" s="37" t="s">
        <v>472</v>
      </c>
      <c r="F98" s="37" t="s">
        <v>473</v>
      </c>
      <c r="G98" s="45" t="s">
        <v>551</v>
      </c>
      <c r="H98" s="37"/>
    </row>
    <row r="99" spans="1:8" x14ac:dyDescent="0.25">
      <c r="A99" s="37" t="s">
        <v>513</v>
      </c>
      <c r="B99" s="37" t="s">
        <v>474</v>
      </c>
      <c r="C99" s="37" t="b">
        <v>0</v>
      </c>
      <c r="D99" s="44" t="s">
        <v>521</v>
      </c>
      <c r="E99" s="37" t="s">
        <v>475</v>
      </c>
      <c r="F99" s="37" t="s">
        <v>476</v>
      </c>
      <c r="G99" s="45" t="s">
        <v>35</v>
      </c>
      <c r="H99" s="37"/>
    </row>
    <row r="100" spans="1:8" x14ac:dyDescent="0.25">
      <c r="A100" s="37" t="s">
        <v>513</v>
      </c>
      <c r="B100" s="37" t="s">
        <v>477</v>
      </c>
      <c r="C100" s="37" t="b">
        <v>0</v>
      </c>
      <c r="D100" s="44" t="s">
        <v>521</v>
      </c>
      <c r="E100" s="37" t="s">
        <v>478</v>
      </c>
      <c r="F100" s="37" t="s">
        <v>479</v>
      </c>
      <c r="G100" s="45" t="s">
        <v>554</v>
      </c>
      <c r="H100" s="37"/>
    </row>
    <row r="101" spans="1:8" x14ac:dyDescent="0.25">
      <c r="A101" s="37" t="s">
        <v>513</v>
      </c>
      <c r="B101" s="37" t="s">
        <v>480</v>
      </c>
      <c r="C101" s="37" t="b">
        <v>0</v>
      </c>
      <c r="D101" s="44" t="s">
        <v>521</v>
      </c>
      <c r="E101" s="37" t="s">
        <v>481</v>
      </c>
      <c r="F101" s="37" t="s">
        <v>482</v>
      </c>
      <c r="G101" s="45" t="s">
        <v>549</v>
      </c>
      <c r="H101" s="37"/>
    </row>
    <row r="102" spans="1:8" x14ac:dyDescent="0.25">
      <c r="A102" s="37" t="s">
        <v>513</v>
      </c>
      <c r="B102" s="37" t="s">
        <v>483</v>
      </c>
      <c r="C102" s="37" t="b">
        <v>0</v>
      </c>
      <c r="D102" s="44" t="s">
        <v>521</v>
      </c>
      <c r="E102" s="37" t="s">
        <v>484</v>
      </c>
      <c r="F102" s="37" t="s">
        <v>485</v>
      </c>
      <c r="G102" s="45" t="s">
        <v>549</v>
      </c>
      <c r="H102" s="37"/>
    </row>
    <row r="103" spans="1:8" x14ac:dyDescent="0.25">
      <c r="A103" s="37" t="s">
        <v>513</v>
      </c>
      <c r="B103" s="44" t="s">
        <v>486</v>
      </c>
      <c r="C103" s="37" t="b">
        <v>0</v>
      </c>
      <c r="D103" s="37" t="s">
        <v>522</v>
      </c>
      <c r="E103" s="37" t="s">
        <v>487</v>
      </c>
      <c r="F103" s="37" t="s">
        <v>488</v>
      </c>
      <c r="G103" s="45" t="s">
        <v>549</v>
      </c>
      <c r="H103" s="37"/>
    </row>
    <row r="104" spans="1:8" x14ac:dyDescent="0.25">
      <c r="A104" s="37" t="s">
        <v>513</v>
      </c>
      <c r="B104" s="44" t="s">
        <v>489</v>
      </c>
      <c r="C104" s="37" t="b">
        <v>0</v>
      </c>
      <c r="D104" s="37" t="s">
        <v>522</v>
      </c>
      <c r="E104" s="37" t="s">
        <v>490</v>
      </c>
      <c r="F104" s="37" t="s">
        <v>491</v>
      </c>
      <c r="G104" s="45" t="s">
        <v>35</v>
      </c>
      <c r="H104" s="37"/>
    </row>
    <row r="105" spans="1:8" x14ac:dyDescent="0.25">
      <c r="A105" s="37" t="s">
        <v>513</v>
      </c>
      <c r="B105" s="44" t="s">
        <v>492</v>
      </c>
      <c r="C105" s="37" t="b">
        <v>0</v>
      </c>
      <c r="D105" s="37" t="s">
        <v>522</v>
      </c>
      <c r="E105" s="37" t="s">
        <v>493</v>
      </c>
      <c r="F105" s="37" t="s">
        <v>494</v>
      </c>
      <c r="G105" s="45" t="s">
        <v>566</v>
      </c>
      <c r="H105" s="37"/>
    </row>
    <row r="106" spans="1:8" x14ac:dyDescent="0.25">
      <c r="A106" s="37" t="s">
        <v>513</v>
      </c>
      <c r="B106" s="37" t="s">
        <v>495</v>
      </c>
      <c r="C106" s="37" t="b">
        <v>0</v>
      </c>
      <c r="D106" s="37" t="s">
        <v>522</v>
      </c>
      <c r="E106" s="37" t="s">
        <v>496</v>
      </c>
      <c r="F106" s="37" t="s">
        <v>497</v>
      </c>
      <c r="G106" s="45" t="s">
        <v>548</v>
      </c>
      <c r="H106" s="37"/>
    </row>
    <row r="107" spans="1:8" x14ac:dyDescent="0.25">
      <c r="A107" s="37" t="s">
        <v>513</v>
      </c>
      <c r="B107" s="37" t="s">
        <v>498</v>
      </c>
      <c r="C107" s="37" t="b">
        <v>0</v>
      </c>
      <c r="D107" s="37" t="s">
        <v>522</v>
      </c>
      <c r="E107" s="37" t="s">
        <v>499</v>
      </c>
      <c r="F107" s="37" t="s">
        <v>500</v>
      </c>
      <c r="G107" s="45" t="s">
        <v>35</v>
      </c>
      <c r="H107" s="37"/>
    </row>
    <row r="108" spans="1:8" x14ac:dyDescent="0.25">
      <c r="A108" s="37" t="s">
        <v>513</v>
      </c>
      <c r="B108" s="37" t="s">
        <v>501</v>
      </c>
      <c r="C108" s="37" t="b">
        <v>0</v>
      </c>
      <c r="D108" s="37" t="s">
        <v>522</v>
      </c>
      <c r="E108" s="37" t="s">
        <v>502</v>
      </c>
      <c r="F108" s="37" t="s">
        <v>503</v>
      </c>
      <c r="G108" s="45" t="s">
        <v>555</v>
      </c>
      <c r="H108" s="37"/>
    </row>
    <row r="109" spans="1:8" x14ac:dyDescent="0.25">
      <c r="A109" s="37" t="s">
        <v>513</v>
      </c>
      <c r="B109" s="37" t="s">
        <v>504</v>
      </c>
      <c r="C109" s="37" t="b">
        <v>0</v>
      </c>
      <c r="D109" s="37" t="s">
        <v>522</v>
      </c>
      <c r="E109" s="37" t="s">
        <v>505</v>
      </c>
      <c r="F109" s="37" t="s">
        <v>506</v>
      </c>
      <c r="G109" s="45" t="s">
        <v>555</v>
      </c>
      <c r="H109" s="37"/>
    </row>
    <row r="110" spans="1:8" x14ac:dyDescent="0.25">
      <c r="A110" s="37" t="s">
        <v>513</v>
      </c>
      <c r="B110" s="37" t="s">
        <v>507</v>
      </c>
      <c r="C110" s="37" t="b">
        <v>0</v>
      </c>
      <c r="D110" s="37" t="s">
        <v>523</v>
      </c>
      <c r="E110" s="37" t="s">
        <v>508</v>
      </c>
      <c r="F110" s="37" t="s">
        <v>509</v>
      </c>
      <c r="G110" s="45" t="s">
        <v>567</v>
      </c>
      <c r="H110" s="37"/>
    </row>
    <row r="111" spans="1:8" x14ac:dyDescent="0.25">
      <c r="A111" t="s">
        <v>513</v>
      </c>
      <c r="B111" t="s">
        <v>510</v>
      </c>
      <c r="C111" t="b">
        <v>0</v>
      </c>
      <c r="D111" t="s">
        <v>523</v>
      </c>
      <c r="E111" t="s">
        <v>511</v>
      </c>
      <c r="F111" t="s">
        <v>512</v>
      </c>
      <c r="G111" s="45" t="s">
        <v>556</v>
      </c>
    </row>
  </sheetData>
  <autoFilter ref="A1:G1"/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"/>
  <dimension ref="G3:O43"/>
  <sheetViews>
    <sheetView showGridLines="0" showRowColHeaders="0" topLeftCell="A25" zoomScaleNormal="100" workbookViewId="0">
      <selection activeCell="J49" sqref="J49:K49"/>
    </sheetView>
  </sheetViews>
  <sheetFormatPr defaultRowHeight="15" x14ac:dyDescent="0.25"/>
  <cols>
    <col min="2" max="2" width="8.7109375" customWidth="1"/>
    <col min="3" max="3" width="5.85546875" customWidth="1"/>
    <col min="4" max="4" width="5.42578125" customWidth="1"/>
    <col min="5" max="5" width="3.140625" customWidth="1"/>
    <col min="6" max="6" width="3.7109375" customWidth="1"/>
    <col min="7" max="7" width="5" customWidth="1"/>
    <col min="8" max="8" width="8" customWidth="1"/>
    <col min="9" max="9" width="7.85546875" customWidth="1"/>
    <col min="10" max="10" width="6" bestFit="1" customWidth="1"/>
    <col min="11" max="11" width="6.28515625" bestFit="1" customWidth="1"/>
    <col min="12" max="12" width="5.28515625" bestFit="1" customWidth="1"/>
    <col min="13" max="13" width="6.42578125" bestFit="1" customWidth="1"/>
    <col min="14" max="21" width="9.85546875" customWidth="1"/>
    <col min="22" max="22" width="10" bestFit="1" customWidth="1"/>
  </cols>
  <sheetData>
    <row r="3" spans="7:7" x14ac:dyDescent="0.25">
      <c r="G3" s="4"/>
    </row>
    <row r="4" spans="7:7" x14ac:dyDescent="0.25">
      <c r="G4" s="4"/>
    </row>
    <row r="5" spans="7:7" x14ac:dyDescent="0.25">
      <c r="G5" s="39"/>
    </row>
    <row r="6" spans="7:7" x14ac:dyDescent="0.25">
      <c r="G6" s="39"/>
    </row>
    <row r="7" spans="7:7" x14ac:dyDescent="0.25">
      <c r="G7" s="4"/>
    </row>
    <row r="8" spans="7:7" x14ac:dyDescent="0.25">
      <c r="G8" s="4"/>
    </row>
    <row r="9" spans="7:7" x14ac:dyDescent="0.25">
      <c r="G9" s="4"/>
    </row>
    <row r="28" spans="14:15" x14ac:dyDescent="0.25">
      <c r="N28" s="4"/>
      <c r="O28" s="38"/>
    </row>
    <row r="29" spans="14:15" x14ac:dyDescent="0.25">
      <c r="N29" s="39"/>
      <c r="O29" s="38"/>
    </row>
    <row r="30" spans="14:15" x14ac:dyDescent="0.25">
      <c r="N30" s="39"/>
      <c r="O30" s="38"/>
    </row>
    <row r="31" spans="14:15" x14ac:dyDescent="0.25">
      <c r="N31" s="4"/>
      <c r="O31" s="38"/>
    </row>
    <row r="32" spans="14:15" x14ac:dyDescent="0.25">
      <c r="N32" s="4"/>
      <c r="O32" s="38"/>
    </row>
    <row r="33" spans="14:15" x14ac:dyDescent="0.25">
      <c r="N33" s="39"/>
      <c r="O33" s="38"/>
    </row>
    <row r="34" spans="14:15" x14ac:dyDescent="0.25">
      <c r="N34" s="39"/>
      <c r="O34" s="38"/>
    </row>
    <row r="35" spans="14:15" x14ac:dyDescent="0.25">
      <c r="N35" s="4"/>
      <c r="O35" s="38"/>
    </row>
    <row r="36" spans="14:15" x14ac:dyDescent="0.25">
      <c r="N36" s="4"/>
      <c r="O36" s="38"/>
    </row>
    <row r="37" spans="14:15" x14ac:dyDescent="0.25">
      <c r="N37" s="39"/>
      <c r="O37" s="38"/>
    </row>
    <row r="38" spans="14:15" x14ac:dyDescent="0.25">
      <c r="N38" s="39"/>
      <c r="O38" s="38"/>
    </row>
    <row r="39" spans="14:15" x14ac:dyDescent="0.25">
      <c r="N39" s="4"/>
      <c r="O39" s="38"/>
    </row>
    <row r="40" spans="14:15" x14ac:dyDescent="0.25">
      <c r="N40" s="4"/>
      <c r="O40" s="38"/>
    </row>
    <row r="41" spans="14:15" x14ac:dyDescent="0.25">
      <c r="N41" s="39"/>
      <c r="O41" s="38"/>
    </row>
    <row r="42" spans="14:15" x14ac:dyDescent="0.25">
      <c r="N42" s="4"/>
      <c r="O42" s="38"/>
    </row>
    <row r="43" spans="14:15" x14ac:dyDescent="0.25">
      <c r="N43" s="4"/>
      <c r="O43" s="38"/>
    </row>
  </sheetData>
  <pageMargins left="0.7" right="0.7" top="0.75" bottom="0.75" header="0.3" footer="0.3"/>
  <pageSetup orientation="portrait" r:id="rId1"/>
  <drawing r:id="rId2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"/>
  <dimension ref="A1"/>
  <sheetViews>
    <sheetView showGridLines="0" workbookViewId="0">
      <selection activeCell="I11" sqref="I11"/>
    </sheetView>
  </sheetViews>
  <sheetFormatPr defaultRowHeight="15" x14ac:dyDescent="0.25"/>
  <sheetData/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"/>
  <dimension ref="A1:U34"/>
  <sheetViews>
    <sheetView workbookViewId="0">
      <selection activeCell="F10" sqref="F10"/>
    </sheetView>
  </sheetViews>
  <sheetFormatPr defaultRowHeight="15" x14ac:dyDescent="0.25"/>
  <cols>
    <col min="1" max="1" width="20.42578125" bestFit="1" customWidth="1"/>
    <col min="2" max="2" width="20.42578125" customWidth="1"/>
    <col min="3" max="4" width="9.5703125" customWidth="1"/>
    <col min="5" max="5" width="13" customWidth="1"/>
    <col min="6" max="6" width="10.85546875" bestFit="1" customWidth="1"/>
    <col min="12" max="12" width="21.140625" customWidth="1"/>
    <col min="18" max="18" width="20" customWidth="1"/>
    <col min="19" max="19" width="8" customWidth="1"/>
    <col min="20" max="20" width="11" bestFit="1" customWidth="1"/>
    <col min="21" max="21" width="10" bestFit="1" customWidth="1"/>
    <col min="22" max="22" width="8.5703125" customWidth="1"/>
    <col min="23" max="23" width="7.7109375" customWidth="1"/>
    <col min="24" max="24" width="11" bestFit="1" customWidth="1"/>
    <col min="25" max="25" width="10" bestFit="1" customWidth="1"/>
    <col min="26" max="26" width="8.5703125" customWidth="1"/>
    <col min="27" max="27" width="9.7109375" bestFit="1" customWidth="1"/>
    <col min="28" max="28" width="7.7109375" customWidth="1"/>
    <col min="29" max="29" width="11" bestFit="1" customWidth="1"/>
    <col min="30" max="30" width="10.28515625" bestFit="1" customWidth="1"/>
    <col min="31" max="31" width="9.7109375" bestFit="1" customWidth="1"/>
    <col min="32" max="32" width="7.7109375" customWidth="1"/>
    <col min="33" max="33" width="11" bestFit="1" customWidth="1"/>
    <col min="34" max="34" width="10.85546875" bestFit="1" customWidth="1"/>
    <col min="35" max="35" width="7.7109375" customWidth="1"/>
    <col min="36" max="36" width="9.85546875" bestFit="1" customWidth="1"/>
    <col min="37" max="37" width="10" bestFit="1" customWidth="1"/>
  </cols>
  <sheetData>
    <row r="1" spans="1:21" x14ac:dyDescent="0.25">
      <c r="A1" s="1" t="s">
        <v>183</v>
      </c>
      <c r="B1" s="1" t="s">
        <v>182</v>
      </c>
      <c r="C1" s="1" t="s">
        <v>181</v>
      </c>
      <c r="D1" s="1" t="s">
        <v>124</v>
      </c>
      <c r="E1" s="1" t="s">
        <v>180</v>
      </c>
      <c r="F1" s="1" t="s">
        <v>122</v>
      </c>
      <c r="G1" s="1" t="s">
        <v>120</v>
      </c>
      <c r="H1" s="1" t="s">
        <v>179</v>
      </c>
      <c r="I1" s="1" t="s">
        <v>178</v>
      </c>
      <c r="J1" s="1" t="s">
        <v>177</v>
      </c>
      <c r="K1" s="1"/>
      <c r="L1" s="1" t="s">
        <v>176</v>
      </c>
      <c r="M1" s="1"/>
      <c r="N1" s="1"/>
      <c r="O1" s="1" t="s">
        <v>175</v>
      </c>
      <c r="P1" s="1"/>
      <c r="R1" s="1" t="s">
        <v>174</v>
      </c>
      <c r="U1" s="1" t="s">
        <v>173</v>
      </c>
    </row>
    <row r="2" spans="1:21" x14ac:dyDescent="0.25">
      <c r="A2" t="s">
        <v>159</v>
      </c>
      <c r="B2" t="s">
        <v>172</v>
      </c>
      <c r="C2" t="s">
        <v>76</v>
      </c>
      <c r="D2" t="s">
        <v>3</v>
      </c>
      <c r="E2" t="s">
        <v>8</v>
      </c>
      <c r="F2" t="s">
        <v>2</v>
      </c>
      <c r="G2" t="s">
        <v>7</v>
      </c>
      <c r="H2" t="s">
        <v>58</v>
      </c>
      <c r="I2" t="s">
        <v>51</v>
      </c>
      <c r="J2">
        <v>2013</v>
      </c>
      <c r="L2" t="s">
        <v>100</v>
      </c>
      <c r="M2">
        <f>Table1[[#Totals],[Online Learning]]</f>
        <v>77</v>
      </c>
      <c r="O2" t="s">
        <v>171</v>
      </c>
      <c r="P2" t="e">
        <f>SUBTOTAL(109,#REF!)</f>
        <v>#REF!</v>
      </c>
      <c r="R2" t="s">
        <v>170</v>
      </c>
      <c r="S2">
        <f>SUBTOTAL(109,Table1[CO])</f>
        <v>0</v>
      </c>
      <c r="U2" t="s">
        <v>150</v>
      </c>
    </row>
    <row r="3" spans="1:21" x14ac:dyDescent="0.25">
      <c r="A3" t="s">
        <v>169</v>
      </c>
      <c r="B3" t="s">
        <v>168</v>
      </c>
      <c r="C3" t="s">
        <v>167</v>
      </c>
      <c r="D3" t="s">
        <v>72</v>
      </c>
      <c r="E3" t="s">
        <v>22</v>
      </c>
      <c r="F3" t="s">
        <v>65</v>
      </c>
      <c r="G3" t="s">
        <v>1</v>
      </c>
      <c r="H3" t="s">
        <v>53</v>
      </c>
      <c r="I3" t="s">
        <v>34</v>
      </c>
      <c r="J3">
        <v>2014</v>
      </c>
      <c r="L3" t="s">
        <v>163</v>
      </c>
      <c r="M3">
        <f>Table1[[#Totals],[CurrDev]]</f>
        <v>64</v>
      </c>
      <c r="O3" t="s">
        <v>166</v>
      </c>
      <c r="P3" t="e">
        <f>SUBTOTAL(109,#REF!)</f>
        <v>#REF!</v>
      </c>
      <c r="R3" t="s">
        <v>165</v>
      </c>
      <c r="S3">
        <f>SUBTOTAL(109,Table1[EH])</f>
        <v>0</v>
      </c>
      <c r="U3" t="s">
        <v>164</v>
      </c>
    </row>
    <row r="4" spans="1:21" x14ac:dyDescent="0.25">
      <c r="A4" t="s">
        <v>163</v>
      </c>
      <c r="B4" t="s">
        <v>162</v>
      </c>
      <c r="C4" t="s">
        <v>161</v>
      </c>
      <c r="D4" t="s">
        <v>160</v>
      </c>
      <c r="E4" t="s">
        <v>26</v>
      </c>
      <c r="F4" t="s">
        <v>46</v>
      </c>
      <c r="G4" t="s">
        <v>24</v>
      </c>
      <c r="H4" t="s">
        <v>45</v>
      </c>
      <c r="I4" t="s">
        <v>49</v>
      </c>
      <c r="J4">
        <v>2015</v>
      </c>
      <c r="L4" t="s">
        <v>159</v>
      </c>
      <c r="M4">
        <f>Table1[[#Totals],[PW]]</f>
        <v>50</v>
      </c>
      <c r="O4" t="s">
        <v>158</v>
      </c>
      <c r="P4" t="e">
        <f>SUBTOTAL(109,#REF!)</f>
        <v>#REF!</v>
      </c>
      <c r="R4" t="s">
        <v>157</v>
      </c>
      <c r="S4">
        <f>SUBTOTAL(109,Table1[AB])</f>
        <v>200</v>
      </c>
      <c r="U4" t="s">
        <v>24</v>
      </c>
    </row>
    <row r="5" spans="1:21" x14ac:dyDescent="0.25">
      <c r="A5" t="s">
        <v>100</v>
      </c>
      <c r="B5" t="s">
        <v>156</v>
      </c>
      <c r="C5" t="s">
        <v>35</v>
      </c>
      <c r="D5" t="s">
        <v>43</v>
      </c>
      <c r="E5" t="s">
        <v>71</v>
      </c>
      <c r="F5" t="s">
        <v>21</v>
      </c>
      <c r="G5" t="s">
        <v>12</v>
      </c>
      <c r="I5" t="s">
        <v>55</v>
      </c>
      <c r="J5">
        <v>2016</v>
      </c>
      <c r="L5" t="s">
        <v>97</v>
      </c>
      <c r="M5">
        <f>Table1[[#Totals],[Campus]]</f>
        <v>24</v>
      </c>
      <c r="R5" t="s">
        <v>155</v>
      </c>
      <c r="S5">
        <f>SUBTOTAL(109,Table1[JH])</f>
        <v>300</v>
      </c>
      <c r="U5" t="s">
        <v>154</v>
      </c>
    </row>
    <row r="6" spans="1:21" x14ac:dyDescent="0.25">
      <c r="A6" t="s">
        <v>153</v>
      </c>
      <c r="B6" t="s">
        <v>152</v>
      </c>
      <c r="C6" t="s">
        <v>151</v>
      </c>
      <c r="E6" t="s">
        <v>42</v>
      </c>
      <c r="F6" t="s">
        <v>31</v>
      </c>
      <c r="G6" t="s">
        <v>150</v>
      </c>
      <c r="I6" t="s">
        <v>149</v>
      </c>
      <c r="J6">
        <v>2017</v>
      </c>
      <c r="L6" t="s">
        <v>96</v>
      </c>
      <c r="M6">
        <f>Table1[[#Totals],[Other]]</f>
        <v>0</v>
      </c>
      <c r="R6" t="s">
        <v>148</v>
      </c>
      <c r="S6">
        <f>SUBTOTAL(109,Table1[SW])</f>
        <v>30</v>
      </c>
      <c r="U6" t="s">
        <v>147</v>
      </c>
    </row>
    <row r="7" spans="1:21" x14ac:dyDescent="0.25">
      <c r="A7" t="s">
        <v>146</v>
      </c>
      <c r="B7" t="s">
        <v>145</v>
      </c>
      <c r="C7" t="s">
        <v>74</v>
      </c>
      <c r="E7" t="s">
        <v>144</v>
      </c>
      <c r="I7" t="s">
        <v>143</v>
      </c>
      <c r="J7">
        <v>2018</v>
      </c>
      <c r="R7" t="s">
        <v>142</v>
      </c>
      <c r="S7">
        <f>SUBTOTAL(109,Table1[DB])</f>
        <v>220</v>
      </c>
    </row>
    <row r="8" spans="1:21" x14ac:dyDescent="0.25">
      <c r="A8" t="s">
        <v>141</v>
      </c>
      <c r="C8" t="s">
        <v>140</v>
      </c>
      <c r="E8" t="s">
        <v>139</v>
      </c>
      <c r="I8" t="s">
        <v>138</v>
      </c>
      <c r="R8" t="s">
        <v>137</v>
      </c>
      <c r="S8">
        <f>SUBTOTAL(109,Table1[CH])</f>
        <v>550</v>
      </c>
    </row>
    <row r="9" spans="1:21" x14ac:dyDescent="0.25">
      <c r="A9" t="s">
        <v>136</v>
      </c>
      <c r="C9" t="s">
        <v>64</v>
      </c>
      <c r="I9" t="s">
        <v>135</v>
      </c>
    </row>
    <row r="10" spans="1:21" x14ac:dyDescent="0.25">
      <c r="A10" t="s">
        <v>96</v>
      </c>
      <c r="C10" t="s">
        <v>134</v>
      </c>
      <c r="I10" t="s">
        <v>60</v>
      </c>
    </row>
    <row r="11" spans="1:21" x14ac:dyDescent="0.25">
      <c r="C11" t="s">
        <v>20</v>
      </c>
      <c r="I11" t="s">
        <v>19</v>
      </c>
    </row>
    <row r="12" spans="1:21" x14ac:dyDescent="0.25">
      <c r="I12" t="s">
        <v>62</v>
      </c>
      <c r="R12" s="4"/>
    </row>
    <row r="13" spans="1:21" x14ac:dyDescent="0.25">
      <c r="I13" t="s">
        <v>57</v>
      </c>
      <c r="R13" s="4"/>
    </row>
    <row r="14" spans="1:21" x14ac:dyDescent="0.25">
      <c r="R14" s="4"/>
    </row>
    <row r="15" spans="1:21" x14ac:dyDescent="0.25">
      <c r="R15" s="4"/>
    </row>
    <row r="16" spans="1:21" x14ac:dyDescent="0.25">
      <c r="R16" s="4"/>
    </row>
    <row r="17" spans="18:18" x14ac:dyDescent="0.25">
      <c r="R17" s="4"/>
    </row>
    <row r="18" spans="18:18" x14ac:dyDescent="0.25">
      <c r="R18" s="4"/>
    </row>
    <row r="19" spans="18:18" x14ac:dyDescent="0.25">
      <c r="R19" s="4"/>
    </row>
    <row r="20" spans="18:18" x14ac:dyDescent="0.25">
      <c r="R20" s="4"/>
    </row>
    <row r="21" spans="18:18" x14ac:dyDescent="0.25">
      <c r="R21" s="4"/>
    </row>
    <row r="22" spans="18:18" x14ac:dyDescent="0.25">
      <c r="R22" s="4"/>
    </row>
    <row r="23" spans="18:18" x14ac:dyDescent="0.25">
      <c r="R23" s="4"/>
    </row>
    <row r="24" spans="18:18" x14ac:dyDescent="0.25">
      <c r="R24" s="4"/>
    </row>
    <row r="25" spans="18:18" x14ac:dyDescent="0.25">
      <c r="R25" s="4"/>
    </row>
    <row r="26" spans="18:18" x14ac:dyDescent="0.25">
      <c r="R26" s="4"/>
    </row>
    <row r="27" spans="18:18" x14ac:dyDescent="0.25">
      <c r="R27" s="4"/>
    </row>
    <row r="28" spans="18:18" x14ac:dyDescent="0.25">
      <c r="R28" s="4"/>
    </row>
    <row r="29" spans="18:18" x14ac:dyDescent="0.25">
      <c r="R29" s="4"/>
    </row>
    <row r="30" spans="18:18" x14ac:dyDescent="0.25">
      <c r="R30" s="4"/>
    </row>
    <row r="31" spans="18:18" x14ac:dyDescent="0.25">
      <c r="R31" s="4"/>
    </row>
    <row r="32" spans="18:18" x14ac:dyDescent="0.25">
      <c r="R32" s="4"/>
    </row>
    <row r="33" spans="18:18" x14ac:dyDescent="0.25">
      <c r="R33" s="4"/>
    </row>
    <row r="34" spans="18:18" x14ac:dyDescent="0.25">
      <c r="R34" s="4"/>
    </row>
  </sheetData>
  <pageMargins left="0.7" right="0.7" top="0.75" bottom="0.75" header="0.3" footer="0.3"/>
  <pageSetup orientation="portrait" horizontalDpi="360" verticalDpi="360" r:id="rId1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"/>
  <dimension ref="A2:B9"/>
  <sheetViews>
    <sheetView workbookViewId="0">
      <selection activeCell="A13" sqref="A13"/>
    </sheetView>
  </sheetViews>
  <sheetFormatPr defaultRowHeight="15" x14ac:dyDescent="0.25"/>
  <cols>
    <col min="1" max="1" width="62.140625" style="40" customWidth="1"/>
    <col min="2" max="2" width="41.85546875" style="40" customWidth="1"/>
  </cols>
  <sheetData>
    <row r="2" spans="1:2" x14ac:dyDescent="0.25">
      <c r="A2" s="43" t="s">
        <v>195</v>
      </c>
      <c r="B2" s="43" t="s">
        <v>194</v>
      </c>
    </row>
    <row r="3" spans="1:2" ht="45" x14ac:dyDescent="0.25">
      <c r="A3" s="40" t="s">
        <v>193</v>
      </c>
      <c r="B3" s="40" t="s">
        <v>192</v>
      </c>
    </row>
    <row r="4" spans="1:2" ht="90" x14ac:dyDescent="0.25">
      <c r="A4" s="40" t="s">
        <v>191</v>
      </c>
      <c r="B4" s="40" t="s">
        <v>190</v>
      </c>
    </row>
    <row r="5" spans="1:2" ht="75" x14ac:dyDescent="0.25">
      <c r="A5" s="40" t="s">
        <v>189</v>
      </c>
      <c r="B5" s="40" t="s">
        <v>188</v>
      </c>
    </row>
    <row r="6" spans="1:2" x14ac:dyDescent="0.25">
      <c r="A6" s="42" t="s">
        <v>187</v>
      </c>
    </row>
    <row r="7" spans="1:2" x14ac:dyDescent="0.25">
      <c r="A7" s="41" t="s">
        <v>186</v>
      </c>
    </row>
    <row r="8" spans="1:2" x14ac:dyDescent="0.25">
      <c r="A8" s="41" t="s">
        <v>185</v>
      </c>
    </row>
    <row r="9" spans="1:2" x14ac:dyDescent="0.25">
      <c r="A9" s="41" t="s">
        <v>184</v>
      </c>
    </row>
  </sheetData>
  <pageMargins left="0.7" right="0.7" top="0.75" bottom="0.75" header="0.3" footer="0.3"/>
  <pageSetup orientation="portrait" r:id="rId1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"/>
  <dimension ref="A1:A6"/>
  <sheetViews>
    <sheetView workbookViewId="0">
      <selection activeCell="F21" sqref="F21"/>
    </sheetView>
  </sheetViews>
  <sheetFormatPr defaultRowHeight="15" x14ac:dyDescent="0.25"/>
  <sheetData>
    <row r="1" spans="1:1" ht="15.75" x14ac:dyDescent="0.25">
      <c r="A1" s="37" t="s">
        <v>133</v>
      </c>
    </row>
    <row r="2" spans="1:1" ht="15.75" x14ac:dyDescent="0.25">
      <c r="A2" s="37" t="s">
        <v>132</v>
      </c>
    </row>
    <row r="3" spans="1:1" ht="15.75" x14ac:dyDescent="0.25">
      <c r="A3" s="37" t="s">
        <v>131</v>
      </c>
    </row>
    <row r="4" spans="1:1" ht="15.75" x14ac:dyDescent="0.25">
      <c r="A4" s="37" t="s">
        <v>130</v>
      </c>
    </row>
    <row r="5" spans="1:1" ht="15.75" x14ac:dyDescent="0.25">
      <c r="A5" s="37" t="s">
        <v>129</v>
      </c>
    </row>
    <row r="6" spans="1:1" ht="15.75" x14ac:dyDescent="0.25">
      <c r="A6" s="37" t="s">
        <v>128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7</vt:i4>
      </vt:variant>
    </vt:vector>
  </HeadingPairs>
  <TitlesOfParts>
    <vt:vector size="7" baseType="lpstr">
      <vt:lpstr>Data</vt:lpstr>
      <vt:lpstr>TrelloData</vt:lpstr>
      <vt:lpstr>Charts</vt:lpstr>
      <vt:lpstr>Filters</vt:lpstr>
      <vt:lpstr>DropDowns</vt:lpstr>
      <vt:lpstr>Needs</vt:lpstr>
      <vt:lpstr>settings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Tim Hall</dc:creator>
  <cp:lastModifiedBy>Benson, Didymus</cp:lastModifiedBy>
  <dcterms:created xsi:type="dcterms:W3CDTF">2011-08-25T14:29:57Z</dcterms:created>
  <dcterms:modified xsi:type="dcterms:W3CDTF">2017-07-28T15:59:43Z</dcterms:modified>
</cp:coreProperties>
</file>