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dymusbenson\Desktop\TRELLO GRABBER\"/>
    </mc:Choice>
  </mc:AlternateContent>
  <bookViews>
    <workbookView xWindow="0" yWindow="0" windowWidth="28800" windowHeight="12300" activeTab="4"/>
  </bookViews>
  <sheets>
    <sheet name="Data" sheetId="9" r:id="rId1"/>
    <sheet name="DropDowns" sheetId="10" r:id="rId2"/>
    <sheet name="Products" sheetId="11" r:id="rId3"/>
    <sheet name="TrelloData" sheetId="3" r:id="rId4"/>
    <sheet name="settings" sheetId="4" r:id="rId5"/>
  </sheets>
  <functionGroups builtInGroupCount="18"/>
  <externalReferences>
    <externalReference r:id="rId6"/>
  </externalReferences>
  <definedNames>
    <definedName name="_xlnm._FilterDatabase" localSheetId="3" hidden="1">TrelloData!$A$1:$G$579</definedName>
  </definedNames>
  <calcPr calcId="162913"/>
</workbook>
</file>

<file path=xl/calcChain.xml><?xml version="1.0" encoding="utf-8"?>
<calcChain xmlns="http://schemas.openxmlformats.org/spreadsheetml/2006/main">
  <c r="V3" i="9" l="1"/>
  <c r="W3" i="9"/>
  <c r="AK3" i="9"/>
  <c r="AU3" i="9"/>
  <c r="V4" i="9"/>
  <c r="W4" i="9"/>
  <c r="AK4" i="9"/>
  <c r="AU4" i="9"/>
  <c r="V5" i="9"/>
  <c r="W5" i="9"/>
  <c r="AK5" i="9"/>
  <c r="AU5" i="9"/>
  <c r="V6" i="9"/>
  <c r="W6" i="9"/>
  <c r="AK6" i="9"/>
  <c r="AU6" i="9"/>
  <c r="V7" i="9"/>
  <c r="W7" i="9"/>
  <c r="AK7" i="9"/>
  <c r="AU7" i="9"/>
  <c r="V8" i="9"/>
  <c r="W8" i="9"/>
  <c r="AK8" i="9"/>
  <c r="AU8" i="9"/>
  <c r="V9" i="9"/>
  <c r="W9" i="9"/>
  <c r="AK9" i="9"/>
  <c r="AU9" i="9"/>
  <c r="V10" i="9"/>
  <c r="W10" i="9"/>
  <c r="AK10" i="9"/>
  <c r="AU10" i="9"/>
  <c r="V11" i="9"/>
  <c r="W11" i="9"/>
  <c r="AK11" i="9"/>
  <c r="AU11" i="9"/>
  <c r="V12" i="9"/>
  <c r="W12" i="9"/>
  <c r="AK12" i="9"/>
  <c r="AU12" i="9"/>
  <c r="V13" i="9"/>
  <c r="W13" i="9"/>
  <c r="AK13" i="9"/>
  <c r="AU13" i="9"/>
  <c r="V14" i="9"/>
  <c r="W14" i="9"/>
  <c r="AK14" i="9"/>
  <c r="AU14" i="9"/>
  <c r="V15" i="9"/>
  <c r="W15" i="9"/>
  <c r="AK15" i="9"/>
  <c r="AU15" i="9"/>
  <c r="V16" i="9"/>
  <c r="W16" i="9"/>
  <c r="AK16" i="9"/>
  <c r="AU16" i="9"/>
  <c r="V17" i="9"/>
  <c r="W17" i="9"/>
  <c r="AK17" i="9"/>
  <c r="AU17" i="9"/>
  <c r="V18" i="9"/>
  <c r="W18" i="9"/>
  <c r="AK18" i="9"/>
  <c r="AU18" i="9"/>
  <c r="V19" i="9"/>
  <c r="W19" i="9"/>
  <c r="AK19" i="9"/>
  <c r="AU19" i="9"/>
  <c r="V20" i="9"/>
  <c r="W20" i="9"/>
  <c r="AK20" i="9"/>
  <c r="AU20" i="9"/>
  <c r="V21" i="9"/>
  <c r="W21" i="9"/>
  <c r="AK21" i="9"/>
  <c r="AU21" i="9"/>
  <c r="V22" i="9"/>
  <c r="W22" i="9"/>
  <c r="AK22" i="9"/>
  <c r="AU22" i="9"/>
  <c r="V23" i="9"/>
  <c r="W23" i="9"/>
  <c r="AK23" i="9"/>
  <c r="AU23" i="9"/>
  <c r="V24" i="9"/>
  <c r="W24" i="9"/>
  <c r="AK24" i="9"/>
  <c r="AU24" i="9"/>
  <c r="V25" i="9"/>
  <c r="W25" i="9"/>
  <c r="AK25" i="9"/>
  <c r="AU25" i="9"/>
  <c r="V26" i="9"/>
  <c r="W26" i="9"/>
  <c r="AK26" i="9"/>
  <c r="AU26" i="9"/>
  <c r="V27" i="9"/>
  <c r="W27" i="9"/>
  <c r="AK27" i="9"/>
  <c r="AU27" i="9"/>
  <c r="V28" i="9"/>
  <c r="W28" i="9"/>
  <c r="AK28" i="9"/>
  <c r="AU28" i="9"/>
  <c r="V29" i="9"/>
  <c r="W29" i="9"/>
  <c r="AK29" i="9"/>
  <c r="AU29" i="9"/>
  <c r="V30" i="9"/>
  <c r="W30" i="9"/>
  <c r="AK30" i="9"/>
  <c r="AU30" i="9"/>
  <c r="V31" i="9"/>
  <c r="W31" i="9"/>
  <c r="AK31" i="9"/>
  <c r="AU31" i="9"/>
  <c r="V32" i="9"/>
  <c r="W32" i="9"/>
  <c r="AK32" i="9"/>
  <c r="AU32" i="9"/>
  <c r="V33" i="9"/>
  <c r="W33" i="9"/>
  <c r="AK33" i="9"/>
  <c r="AU33" i="9"/>
  <c r="V34" i="9"/>
  <c r="W34" i="9"/>
  <c r="AK34" i="9"/>
  <c r="AU34" i="9"/>
  <c r="V35" i="9"/>
  <c r="W35" i="9"/>
  <c r="AK35" i="9"/>
  <c r="AU35" i="9"/>
  <c r="V36" i="9"/>
  <c r="W36" i="9"/>
  <c r="AK36" i="9"/>
  <c r="AU36" i="9"/>
  <c r="V37" i="9"/>
  <c r="W37" i="9"/>
  <c r="AK37" i="9"/>
  <c r="AU37" i="9"/>
  <c r="V38" i="9"/>
  <c r="W38" i="9"/>
  <c r="AK38" i="9"/>
  <c r="AU38" i="9"/>
  <c r="V39" i="9"/>
  <c r="W39" i="9"/>
  <c r="AK39" i="9"/>
  <c r="AU39" i="9"/>
  <c r="V40" i="9"/>
  <c r="W40" i="9"/>
  <c r="AK40" i="9"/>
  <c r="AU40" i="9"/>
  <c r="V41" i="9"/>
  <c r="W41" i="9"/>
  <c r="AK41" i="9"/>
  <c r="AU41" i="9"/>
  <c r="V42" i="9"/>
  <c r="W42" i="9"/>
  <c r="AK42" i="9"/>
  <c r="AU42" i="9"/>
  <c r="V43" i="9"/>
  <c r="W43" i="9"/>
  <c r="AK43" i="9"/>
  <c r="AU43" i="9"/>
  <c r="V44" i="9"/>
  <c r="W44" i="9"/>
  <c r="AK44" i="9"/>
  <c r="AU44" i="9"/>
  <c r="V45" i="9"/>
  <c r="W45" i="9"/>
  <c r="AK45" i="9"/>
  <c r="AU45" i="9"/>
  <c r="V46" i="9"/>
  <c r="W46" i="9"/>
  <c r="AK46" i="9"/>
  <c r="AU46" i="9"/>
  <c r="V47" i="9"/>
  <c r="W47" i="9"/>
  <c r="AK47" i="9"/>
  <c r="AU47" i="9"/>
  <c r="V48" i="9"/>
  <c r="W48" i="9"/>
  <c r="AK48" i="9"/>
  <c r="AU48" i="9"/>
  <c r="V49" i="9"/>
  <c r="W49" i="9"/>
  <c r="AK49" i="9"/>
  <c r="AU49" i="9"/>
  <c r="V50" i="9"/>
  <c r="W50" i="9"/>
  <c r="AK50" i="9"/>
  <c r="AU50" i="9"/>
  <c r="V51" i="9"/>
  <c r="W51" i="9"/>
  <c r="AK51" i="9"/>
  <c r="AU51" i="9"/>
  <c r="V52" i="9"/>
  <c r="W52" i="9"/>
  <c r="AK52" i="9"/>
  <c r="AU52" i="9"/>
  <c r="V53" i="9"/>
  <c r="W53" i="9"/>
  <c r="AK53" i="9"/>
  <c r="AU53" i="9"/>
  <c r="V54" i="9"/>
  <c r="W54" i="9"/>
  <c r="AK54" i="9"/>
  <c r="AU54" i="9"/>
  <c r="V55" i="9"/>
  <c r="W55" i="9"/>
  <c r="AK55" i="9"/>
  <c r="AU55" i="9"/>
  <c r="V56" i="9"/>
  <c r="W56" i="9"/>
  <c r="AK56" i="9"/>
  <c r="AU56" i="9"/>
  <c r="V57" i="9"/>
  <c r="W57" i="9"/>
  <c r="AK57" i="9"/>
  <c r="AU57" i="9"/>
  <c r="V58" i="9"/>
  <c r="W58" i="9"/>
  <c r="AK58" i="9"/>
  <c r="AU58" i="9"/>
  <c r="V59" i="9"/>
  <c r="W59" i="9"/>
  <c r="AK59" i="9"/>
  <c r="AU59" i="9"/>
  <c r="V60" i="9"/>
  <c r="W60" i="9"/>
  <c r="AK60" i="9"/>
  <c r="AU60" i="9"/>
  <c r="V61" i="9"/>
  <c r="W61" i="9"/>
  <c r="AK61" i="9"/>
  <c r="AU61" i="9"/>
  <c r="V62" i="9"/>
  <c r="W62" i="9"/>
  <c r="AK62" i="9"/>
  <c r="AU62" i="9"/>
  <c r="V63" i="9"/>
  <c r="W63" i="9"/>
  <c r="AK63" i="9"/>
  <c r="AU63" i="9"/>
  <c r="V64" i="9"/>
  <c r="W64" i="9"/>
  <c r="AK64" i="9"/>
  <c r="AU64" i="9"/>
  <c r="V65" i="9"/>
  <c r="W65" i="9"/>
  <c r="AK65" i="9"/>
  <c r="AU65" i="9"/>
  <c r="V66" i="9"/>
  <c r="W66" i="9"/>
  <c r="AK66" i="9"/>
  <c r="AU66" i="9"/>
  <c r="V67" i="9"/>
  <c r="W67" i="9"/>
  <c r="AK67" i="9"/>
  <c r="AU67" i="9"/>
  <c r="V68" i="9"/>
  <c r="W68" i="9"/>
  <c r="AK68" i="9"/>
  <c r="AU68" i="9"/>
  <c r="V69" i="9"/>
  <c r="W69" i="9"/>
  <c r="AK69" i="9"/>
  <c r="AU69" i="9"/>
  <c r="V70" i="9"/>
  <c r="W70" i="9"/>
  <c r="AK70" i="9"/>
  <c r="AU70" i="9"/>
  <c r="V71" i="9"/>
  <c r="W71" i="9"/>
  <c r="AK71" i="9"/>
  <c r="AU71" i="9"/>
  <c r="V72" i="9"/>
  <c r="W72" i="9"/>
  <c r="AK72" i="9"/>
  <c r="AU72" i="9"/>
  <c r="V73" i="9"/>
  <c r="W73" i="9"/>
  <c r="AK73" i="9"/>
  <c r="AU73" i="9"/>
  <c r="V74" i="9"/>
  <c r="W74" i="9"/>
  <c r="AK74" i="9"/>
  <c r="AU74" i="9"/>
  <c r="V75" i="9"/>
  <c r="W75" i="9"/>
  <c r="AK75" i="9"/>
  <c r="AU75" i="9"/>
  <c r="V76" i="9"/>
  <c r="W76" i="9"/>
  <c r="AK76" i="9"/>
  <c r="AU76" i="9"/>
  <c r="V77" i="9"/>
  <c r="W77" i="9"/>
  <c r="AK77" i="9"/>
  <c r="AU77" i="9"/>
  <c r="V78" i="9"/>
  <c r="W78" i="9"/>
  <c r="AK78" i="9"/>
  <c r="AU78" i="9"/>
  <c r="V79" i="9"/>
  <c r="W79" i="9"/>
  <c r="AK79" i="9"/>
  <c r="AU79" i="9"/>
  <c r="V80" i="9"/>
  <c r="W80" i="9"/>
  <c r="AK80" i="9"/>
  <c r="AU80" i="9"/>
  <c r="V81" i="9"/>
  <c r="W81" i="9"/>
  <c r="AK81" i="9"/>
  <c r="AU81" i="9"/>
  <c r="V82" i="9"/>
  <c r="W82" i="9"/>
  <c r="AK82" i="9"/>
  <c r="AU82" i="9"/>
  <c r="V83" i="9"/>
  <c r="W83" i="9"/>
  <c r="AK83" i="9"/>
  <c r="AU83" i="9"/>
  <c r="V84" i="9"/>
  <c r="W84" i="9"/>
  <c r="AK84" i="9"/>
  <c r="AU84" i="9"/>
  <c r="V85" i="9"/>
  <c r="W85" i="9"/>
  <c r="AK85" i="9"/>
  <c r="AU85" i="9"/>
  <c r="V86" i="9"/>
  <c r="W86" i="9"/>
  <c r="AK86" i="9"/>
  <c r="AU86" i="9"/>
  <c r="V87" i="9"/>
  <c r="W87" i="9"/>
  <c r="AK87" i="9"/>
  <c r="AU87" i="9"/>
  <c r="V88" i="9"/>
  <c r="W88" i="9"/>
  <c r="AK88" i="9"/>
  <c r="AU88" i="9"/>
  <c r="V89" i="9"/>
  <c r="W89" i="9"/>
  <c r="AK89" i="9"/>
  <c r="AU89" i="9"/>
  <c r="V90" i="9"/>
  <c r="W90" i="9"/>
  <c r="AK90" i="9"/>
  <c r="AU90" i="9"/>
  <c r="V91" i="9"/>
  <c r="W91" i="9"/>
  <c r="AK91" i="9"/>
  <c r="AU91" i="9"/>
  <c r="V92" i="9"/>
  <c r="W92" i="9"/>
  <c r="AK92" i="9"/>
  <c r="AU92" i="9"/>
  <c r="V93" i="9"/>
  <c r="W93" i="9"/>
  <c r="AK93" i="9"/>
  <c r="AU93" i="9"/>
  <c r="V94" i="9"/>
  <c r="W94" i="9"/>
  <c r="AK94" i="9"/>
  <c r="AU94" i="9"/>
  <c r="V95" i="9"/>
  <c r="W95" i="9"/>
  <c r="AK95" i="9"/>
  <c r="AU95" i="9"/>
  <c r="V96" i="9"/>
  <c r="W96" i="9"/>
  <c r="AK96" i="9"/>
  <c r="AU96" i="9"/>
  <c r="V97" i="9"/>
  <c r="W97" i="9"/>
  <c r="AK97" i="9"/>
  <c r="AU97" i="9"/>
  <c r="V98" i="9"/>
  <c r="W98" i="9"/>
  <c r="AK98" i="9"/>
  <c r="AU98" i="9"/>
  <c r="V99" i="9"/>
  <c r="W99" i="9"/>
  <c r="AK99" i="9"/>
  <c r="AU99" i="9"/>
  <c r="V100" i="9"/>
  <c r="W100" i="9"/>
  <c r="AK100" i="9"/>
  <c r="AU100" i="9"/>
  <c r="V101" i="9"/>
  <c r="W101" i="9"/>
  <c r="AK101" i="9"/>
  <c r="AU101" i="9"/>
  <c r="V102" i="9"/>
  <c r="W102" i="9"/>
  <c r="AK102" i="9"/>
  <c r="AU102" i="9"/>
  <c r="V103" i="9"/>
  <c r="W103" i="9"/>
  <c r="AK103" i="9"/>
  <c r="AU103" i="9"/>
  <c r="V104" i="9"/>
  <c r="W104" i="9"/>
  <c r="AK104" i="9"/>
  <c r="AU104" i="9"/>
  <c r="V105" i="9"/>
  <c r="W105" i="9"/>
  <c r="AK105" i="9"/>
  <c r="AU105" i="9"/>
  <c r="V106" i="9"/>
  <c r="W106" i="9"/>
  <c r="AK106" i="9"/>
  <c r="AU106" i="9"/>
  <c r="V107" i="9"/>
  <c r="W107" i="9"/>
  <c r="AK107" i="9"/>
  <c r="AU107" i="9"/>
  <c r="V108" i="9"/>
  <c r="W108" i="9"/>
  <c r="AK108" i="9"/>
  <c r="AU108" i="9"/>
  <c r="V109" i="9"/>
  <c r="W109" i="9"/>
  <c r="AK109" i="9"/>
  <c r="AU109" i="9"/>
  <c r="V110" i="9"/>
  <c r="W110" i="9"/>
  <c r="AK110" i="9"/>
  <c r="AU110" i="9"/>
  <c r="V111" i="9"/>
  <c r="W111" i="9"/>
  <c r="AK111" i="9"/>
  <c r="AU111" i="9"/>
  <c r="V112" i="9"/>
  <c r="W112" i="9"/>
  <c r="AK112" i="9"/>
  <c r="AU112" i="9"/>
  <c r="V113" i="9"/>
  <c r="W113" i="9"/>
  <c r="AK113" i="9"/>
  <c r="AU113" i="9"/>
  <c r="V114" i="9"/>
  <c r="W114" i="9"/>
  <c r="AK114" i="9"/>
  <c r="AU114" i="9"/>
  <c r="V115" i="9"/>
  <c r="W115" i="9"/>
  <c r="AK115" i="9"/>
  <c r="AU115" i="9"/>
  <c r="V116" i="9"/>
  <c r="W116" i="9"/>
  <c r="AK116" i="9"/>
  <c r="AU116" i="9"/>
  <c r="V117" i="9"/>
  <c r="W117" i="9"/>
  <c r="AK117" i="9"/>
  <c r="AU117" i="9"/>
  <c r="V118" i="9"/>
  <c r="W118" i="9"/>
  <c r="AK118" i="9"/>
  <c r="AU118" i="9"/>
  <c r="V119" i="9"/>
  <c r="W119" i="9"/>
  <c r="AK119" i="9"/>
  <c r="AU119" i="9"/>
  <c r="V120" i="9"/>
  <c r="W120" i="9"/>
  <c r="AK120" i="9"/>
  <c r="AU120" i="9"/>
  <c r="V121" i="9"/>
  <c r="W121" i="9"/>
  <c r="AK121" i="9"/>
  <c r="AU121" i="9"/>
  <c r="V122" i="9"/>
  <c r="W122" i="9"/>
  <c r="AK122" i="9"/>
  <c r="AU122" i="9"/>
  <c r="V123" i="9"/>
  <c r="W123" i="9"/>
  <c r="AK123" i="9"/>
  <c r="AU123" i="9"/>
  <c r="V124" i="9"/>
  <c r="W124" i="9"/>
  <c r="AK124" i="9"/>
  <c r="AU124" i="9"/>
  <c r="V125" i="9"/>
  <c r="W125" i="9"/>
  <c r="AK125" i="9"/>
  <c r="AU125" i="9"/>
  <c r="V126" i="9"/>
  <c r="W126" i="9"/>
  <c r="AK126" i="9"/>
  <c r="AU126" i="9"/>
  <c r="V127" i="9"/>
  <c r="W127" i="9"/>
  <c r="AK127" i="9"/>
  <c r="AU127" i="9"/>
  <c r="V128" i="9"/>
  <c r="W128" i="9"/>
  <c r="AK128" i="9"/>
  <c r="AU128" i="9"/>
  <c r="V129" i="9"/>
  <c r="W129" i="9"/>
  <c r="AK129" i="9"/>
  <c r="AU129" i="9"/>
  <c r="V130" i="9"/>
  <c r="W130" i="9"/>
  <c r="AK130" i="9"/>
  <c r="AU130" i="9"/>
  <c r="V131" i="9"/>
  <c r="W131" i="9"/>
  <c r="AK131" i="9"/>
  <c r="AU131" i="9"/>
  <c r="V132" i="9"/>
  <c r="W132" i="9"/>
  <c r="AK132" i="9"/>
  <c r="AU132" i="9"/>
  <c r="V133" i="9"/>
  <c r="W133" i="9"/>
  <c r="AK133" i="9"/>
  <c r="AU133" i="9"/>
  <c r="V134" i="9"/>
  <c r="W134" i="9"/>
  <c r="AK134" i="9"/>
  <c r="AU134" i="9"/>
  <c r="V135" i="9"/>
  <c r="W135" i="9"/>
  <c r="AK135" i="9"/>
  <c r="AU135" i="9"/>
  <c r="V136" i="9"/>
  <c r="W136" i="9"/>
  <c r="AK136" i="9"/>
  <c r="AU136" i="9"/>
  <c r="V137" i="9"/>
  <c r="W137" i="9"/>
  <c r="AK137" i="9"/>
  <c r="AU137" i="9"/>
  <c r="V138" i="9"/>
  <c r="W138" i="9"/>
  <c r="AK138" i="9"/>
  <c r="AU138" i="9"/>
  <c r="V139" i="9"/>
  <c r="W139" i="9"/>
  <c r="AK139" i="9"/>
  <c r="AU139" i="9"/>
  <c r="V140" i="9"/>
  <c r="W140" i="9"/>
  <c r="AK140" i="9"/>
  <c r="AU140" i="9"/>
  <c r="V141" i="9"/>
  <c r="W141" i="9"/>
  <c r="AK141" i="9"/>
  <c r="AU141" i="9"/>
  <c r="V142" i="9"/>
  <c r="W142" i="9"/>
  <c r="AK142" i="9"/>
  <c r="AU142" i="9"/>
  <c r="V143" i="9"/>
  <c r="W143" i="9"/>
  <c r="AK143" i="9"/>
  <c r="AU143" i="9"/>
  <c r="V144" i="9"/>
  <c r="W144" i="9"/>
  <c r="AK144" i="9"/>
  <c r="AU144" i="9"/>
  <c r="V145" i="9"/>
  <c r="W145" i="9"/>
  <c r="AK145" i="9"/>
  <c r="AU145" i="9"/>
  <c r="V146" i="9"/>
  <c r="W146" i="9"/>
  <c r="AK146" i="9"/>
  <c r="AU146" i="9"/>
  <c r="V147" i="9"/>
  <c r="W147" i="9"/>
  <c r="AK147" i="9"/>
  <c r="AU147" i="9"/>
  <c r="V148" i="9"/>
  <c r="W148" i="9"/>
  <c r="AK148" i="9"/>
  <c r="AU148" i="9"/>
  <c r="V149" i="9"/>
  <c r="W149" i="9"/>
  <c r="AK149" i="9"/>
  <c r="AU149" i="9"/>
  <c r="V150" i="9"/>
  <c r="W150" i="9"/>
  <c r="AK150" i="9"/>
  <c r="AU150" i="9"/>
  <c r="V151" i="9"/>
  <c r="W151" i="9"/>
  <c r="AK151" i="9"/>
  <c r="AU151" i="9"/>
  <c r="V152" i="9"/>
  <c r="W152" i="9"/>
  <c r="AK152" i="9"/>
  <c r="AU152" i="9"/>
  <c r="V153" i="9"/>
  <c r="W153" i="9"/>
  <c r="AK153" i="9"/>
  <c r="AU153" i="9"/>
  <c r="V154" i="9"/>
  <c r="W154" i="9"/>
  <c r="AK154" i="9"/>
  <c r="AU154" i="9"/>
  <c r="V155" i="9"/>
  <c r="W155" i="9"/>
  <c r="AK155" i="9"/>
  <c r="AU155" i="9"/>
  <c r="V156" i="9"/>
  <c r="W156" i="9"/>
  <c r="AK156" i="9"/>
  <c r="AU156" i="9"/>
  <c r="V157" i="9"/>
  <c r="W157" i="9"/>
  <c r="AK157" i="9"/>
  <c r="AU157" i="9"/>
  <c r="V158" i="9"/>
  <c r="W158" i="9"/>
  <c r="AK158" i="9"/>
  <c r="AU158" i="9"/>
  <c r="V159" i="9"/>
  <c r="W159" i="9"/>
  <c r="AK159" i="9"/>
  <c r="AU159" i="9"/>
  <c r="V160" i="9"/>
  <c r="W160" i="9"/>
  <c r="AK160" i="9"/>
  <c r="AU160" i="9"/>
  <c r="V161" i="9"/>
  <c r="W161" i="9"/>
  <c r="AK161" i="9"/>
  <c r="AU161" i="9"/>
  <c r="V162" i="9"/>
  <c r="W162" i="9"/>
  <c r="AK162" i="9"/>
  <c r="AU162" i="9"/>
  <c r="V163" i="9"/>
  <c r="W163" i="9"/>
  <c r="AK163" i="9"/>
  <c r="AU163" i="9"/>
  <c r="V164" i="9"/>
  <c r="W164" i="9"/>
  <c r="AK164" i="9"/>
  <c r="AU164" i="9"/>
  <c r="V165" i="9"/>
  <c r="W165" i="9"/>
  <c r="AK165" i="9"/>
  <c r="AU165" i="9"/>
  <c r="V166" i="9"/>
  <c r="W166" i="9"/>
  <c r="AK166" i="9"/>
  <c r="AU166" i="9"/>
  <c r="V167" i="9"/>
  <c r="W167" i="9"/>
  <c r="AK167" i="9"/>
  <c r="AU167" i="9"/>
  <c r="V168" i="9"/>
  <c r="W168" i="9"/>
  <c r="AK168" i="9"/>
  <c r="AU168" i="9"/>
  <c r="V169" i="9"/>
  <c r="W169" i="9"/>
  <c r="AK169" i="9"/>
  <c r="AU169" i="9"/>
  <c r="V170" i="9"/>
  <c r="W170" i="9"/>
  <c r="AK170" i="9"/>
  <c r="AU170" i="9"/>
  <c r="V171" i="9"/>
  <c r="W171" i="9"/>
  <c r="AK171" i="9"/>
  <c r="AU171" i="9"/>
  <c r="V172" i="9"/>
  <c r="W172" i="9"/>
  <c r="AK172" i="9"/>
  <c r="AU172" i="9"/>
  <c r="V173" i="9"/>
  <c r="W173" i="9"/>
  <c r="AK173" i="9"/>
  <c r="AU173" i="9"/>
  <c r="V174" i="9"/>
  <c r="W174" i="9"/>
  <c r="AK174" i="9"/>
  <c r="AU174" i="9"/>
  <c r="V175" i="9"/>
  <c r="W175" i="9"/>
  <c r="AK175" i="9"/>
  <c r="AU175" i="9"/>
  <c r="V176" i="9"/>
  <c r="W176" i="9"/>
  <c r="AK176" i="9"/>
  <c r="AU176" i="9"/>
  <c r="V177" i="9"/>
  <c r="W177" i="9"/>
  <c r="AK177" i="9"/>
  <c r="AU177" i="9"/>
  <c r="V178" i="9"/>
  <c r="W178" i="9"/>
  <c r="AK178" i="9"/>
  <c r="AU178" i="9"/>
  <c r="V179" i="9"/>
  <c r="W179" i="9"/>
  <c r="AK179" i="9"/>
  <c r="AU179" i="9"/>
  <c r="V180" i="9"/>
  <c r="W180" i="9"/>
  <c r="AK180" i="9"/>
  <c r="AU180" i="9"/>
  <c r="V181" i="9"/>
  <c r="W181" i="9"/>
  <c r="AK181" i="9"/>
  <c r="AU181" i="9"/>
  <c r="V182" i="9"/>
  <c r="W182" i="9"/>
  <c r="AK182" i="9"/>
  <c r="AU182" i="9"/>
  <c r="V183" i="9"/>
  <c r="W183" i="9"/>
  <c r="AK183" i="9"/>
  <c r="AU183" i="9"/>
  <c r="V184" i="9"/>
  <c r="W184" i="9"/>
  <c r="AK184" i="9"/>
  <c r="AU184" i="9"/>
  <c r="V185" i="9"/>
  <c r="W185" i="9"/>
  <c r="AK185" i="9"/>
  <c r="AU185" i="9"/>
  <c r="V186" i="9"/>
  <c r="W186" i="9"/>
  <c r="AK186" i="9"/>
  <c r="AU186" i="9"/>
  <c r="V187" i="9"/>
  <c r="W187" i="9"/>
  <c r="AK187" i="9"/>
  <c r="AU187" i="9"/>
  <c r="V188" i="9"/>
  <c r="W188" i="9"/>
  <c r="AK188" i="9"/>
  <c r="AU188" i="9"/>
  <c r="V189" i="9"/>
  <c r="W189" i="9"/>
  <c r="AK189" i="9"/>
  <c r="AU189" i="9"/>
  <c r="V190" i="9"/>
  <c r="W190" i="9"/>
  <c r="AK190" i="9"/>
  <c r="AU190" i="9"/>
  <c r="V191" i="9"/>
  <c r="W191" i="9"/>
  <c r="AK191" i="9"/>
  <c r="AU191" i="9"/>
  <c r="V192" i="9"/>
  <c r="W192" i="9"/>
  <c r="AK192" i="9"/>
  <c r="AU192" i="9"/>
  <c r="V193" i="9"/>
  <c r="W193" i="9"/>
  <c r="AK193" i="9"/>
  <c r="AU193" i="9"/>
  <c r="V194" i="9"/>
  <c r="W194" i="9"/>
  <c r="AK194" i="9"/>
  <c r="AU194" i="9"/>
  <c r="V195" i="9"/>
  <c r="W195" i="9"/>
  <c r="AK195" i="9"/>
  <c r="AU195" i="9"/>
  <c r="V196" i="9"/>
  <c r="W196" i="9"/>
  <c r="AK196" i="9"/>
  <c r="AU196" i="9"/>
  <c r="V197" i="9"/>
  <c r="W197" i="9"/>
  <c r="AK197" i="9"/>
  <c r="AU197" i="9"/>
  <c r="V198" i="9"/>
  <c r="W198" i="9"/>
  <c r="AK198" i="9"/>
  <c r="AU198" i="9"/>
  <c r="V199" i="9"/>
  <c r="W199" i="9"/>
  <c r="AK199" i="9"/>
  <c r="AU199" i="9"/>
  <c r="V200" i="9"/>
  <c r="W200" i="9"/>
  <c r="AK200" i="9"/>
  <c r="AU200" i="9"/>
  <c r="V201" i="9"/>
  <c r="W201" i="9"/>
  <c r="AK201" i="9"/>
  <c r="AU201" i="9"/>
  <c r="V202" i="9"/>
  <c r="W202" i="9"/>
  <c r="AK202" i="9"/>
  <c r="AU202" i="9"/>
  <c r="V203" i="9"/>
  <c r="W203" i="9"/>
  <c r="AK203" i="9"/>
  <c r="AU203" i="9"/>
  <c r="V204" i="9"/>
  <c r="W204" i="9"/>
  <c r="AK204" i="9"/>
  <c r="AU204" i="9"/>
  <c r="V205" i="9"/>
  <c r="W205" i="9"/>
  <c r="AK205" i="9"/>
  <c r="AU205" i="9"/>
  <c r="V206" i="9"/>
  <c r="W206" i="9"/>
  <c r="AK206" i="9"/>
  <c r="AU206" i="9"/>
  <c r="V207" i="9"/>
  <c r="W207" i="9"/>
  <c r="AK207" i="9"/>
  <c r="AU207" i="9"/>
  <c r="V208" i="9"/>
  <c r="W208" i="9"/>
  <c r="AK208" i="9"/>
  <c r="AU208" i="9"/>
  <c r="V209" i="9"/>
  <c r="W209" i="9"/>
  <c r="AK209" i="9"/>
  <c r="AU209" i="9"/>
  <c r="V210" i="9"/>
  <c r="W210" i="9"/>
  <c r="AK210" i="9"/>
  <c r="AU210" i="9"/>
  <c r="V211" i="9"/>
  <c r="W211" i="9"/>
  <c r="AK211" i="9"/>
  <c r="AU211" i="9"/>
  <c r="V212" i="9"/>
  <c r="W212" i="9"/>
  <c r="AK212" i="9"/>
  <c r="AU212" i="9"/>
  <c r="V213" i="9"/>
  <c r="W213" i="9"/>
  <c r="AK213" i="9"/>
  <c r="AU213" i="9"/>
  <c r="V214" i="9"/>
  <c r="W214" i="9"/>
  <c r="AK214" i="9"/>
  <c r="AU214" i="9"/>
  <c r="V215" i="9"/>
  <c r="W215" i="9"/>
  <c r="AK215" i="9"/>
  <c r="AU215" i="9"/>
  <c r="V216" i="9"/>
  <c r="W216" i="9"/>
  <c r="AK216" i="9"/>
  <c r="AU216" i="9"/>
  <c r="V217" i="9"/>
  <c r="W217" i="9"/>
  <c r="AK217" i="9"/>
  <c r="AU217" i="9"/>
  <c r="V218" i="9"/>
  <c r="W218" i="9"/>
  <c r="AK218" i="9"/>
  <c r="AU218" i="9"/>
  <c r="V219" i="9"/>
  <c r="W219" i="9"/>
  <c r="AK219" i="9"/>
  <c r="AU219" i="9"/>
  <c r="V220" i="9"/>
  <c r="W220" i="9"/>
  <c r="AK220" i="9"/>
  <c r="AU220" i="9"/>
  <c r="V221" i="9"/>
  <c r="W221" i="9"/>
  <c r="AK221" i="9"/>
  <c r="AU221" i="9"/>
  <c r="V222" i="9"/>
  <c r="W222" i="9"/>
  <c r="AK222" i="9"/>
  <c r="AU222" i="9"/>
  <c r="V223" i="9"/>
  <c r="W223" i="9"/>
  <c r="AK223" i="9"/>
  <c r="AU223" i="9"/>
  <c r="V224" i="9"/>
  <c r="W224" i="9"/>
  <c r="AK224" i="9"/>
  <c r="AU224" i="9"/>
  <c r="V225" i="9"/>
  <c r="W225" i="9"/>
  <c r="AK225" i="9"/>
  <c r="AU225" i="9"/>
  <c r="V226" i="9"/>
  <c r="W226" i="9"/>
  <c r="AK226" i="9"/>
  <c r="AU226" i="9"/>
  <c r="V227" i="9"/>
  <c r="W227" i="9"/>
  <c r="AK227" i="9"/>
  <c r="AU227" i="9"/>
  <c r="V228" i="9"/>
  <c r="W228" i="9"/>
  <c r="AK228" i="9"/>
  <c r="AU228" i="9"/>
  <c r="V229" i="9"/>
  <c r="W229" i="9"/>
  <c r="AK229" i="9"/>
  <c r="AU229" i="9"/>
  <c r="V230" i="9"/>
  <c r="W230" i="9"/>
  <c r="AK230" i="9"/>
  <c r="AU230" i="9"/>
  <c r="V231" i="9"/>
  <c r="W231" i="9"/>
  <c r="AK231" i="9"/>
  <c r="AU231" i="9"/>
  <c r="V232" i="9"/>
  <c r="W232" i="9"/>
  <c r="AK232" i="9"/>
  <c r="AU232" i="9"/>
  <c r="V233" i="9"/>
  <c r="W233" i="9"/>
  <c r="AK233" i="9"/>
  <c r="AU233" i="9"/>
  <c r="V234" i="9"/>
  <c r="W234" i="9"/>
  <c r="AK234" i="9"/>
  <c r="AU234" i="9"/>
  <c r="V235" i="9"/>
  <c r="W235" i="9"/>
  <c r="AK235" i="9"/>
  <c r="AU235" i="9"/>
  <c r="V236" i="9"/>
  <c r="W236" i="9"/>
  <c r="AK236" i="9"/>
  <c r="AU236" i="9"/>
  <c r="V237" i="9"/>
  <c r="W237" i="9"/>
  <c r="AK237" i="9"/>
  <c r="AU237" i="9"/>
  <c r="V238" i="9"/>
  <c r="W238" i="9"/>
  <c r="AK238" i="9"/>
  <c r="AU238" i="9"/>
  <c r="V239" i="9"/>
  <c r="W239" i="9"/>
  <c r="AK239" i="9"/>
  <c r="AU239" i="9"/>
  <c r="V240" i="9"/>
  <c r="W240" i="9"/>
  <c r="AK240" i="9"/>
  <c r="AU240" i="9"/>
  <c r="V241" i="9"/>
  <c r="W241" i="9"/>
  <c r="AK241" i="9"/>
  <c r="AU241" i="9"/>
  <c r="V242" i="9"/>
  <c r="W242" i="9"/>
  <c r="AK242" i="9"/>
  <c r="AU242" i="9"/>
  <c r="V243" i="9"/>
  <c r="W243" i="9"/>
  <c r="AK243" i="9"/>
  <c r="AU243" i="9"/>
  <c r="V244" i="9"/>
  <c r="W244" i="9"/>
  <c r="AK244" i="9"/>
  <c r="AU244" i="9"/>
  <c r="V245" i="9"/>
  <c r="W245" i="9"/>
  <c r="AK245" i="9"/>
  <c r="AU245" i="9"/>
  <c r="V246" i="9"/>
  <c r="W246" i="9"/>
  <c r="AK246" i="9"/>
  <c r="AU246" i="9"/>
  <c r="V247" i="9"/>
  <c r="W247" i="9"/>
  <c r="AK247" i="9"/>
  <c r="AU247" i="9"/>
  <c r="V248" i="9"/>
  <c r="W248" i="9"/>
  <c r="AK248" i="9"/>
  <c r="AU248" i="9"/>
  <c r="V249" i="9"/>
  <c r="W249" i="9"/>
  <c r="AK249" i="9"/>
  <c r="AU249" i="9"/>
  <c r="V250" i="9"/>
  <c r="W250" i="9"/>
  <c r="AK250" i="9"/>
  <c r="AU250" i="9"/>
  <c r="V251" i="9"/>
  <c r="W251" i="9"/>
  <c r="AK251" i="9"/>
  <c r="AU251" i="9"/>
  <c r="V252" i="9"/>
  <c r="W252" i="9"/>
  <c r="AK252" i="9"/>
  <c r="AU252" i="9"/>
  <c r="V253" i="9"/>
  <c r="W253" i="9"/>
  <c r="AK253" i="9"/>
  <c r="AU253" i="9"/>
  <c r="V254" i="9"/>
  <c r="W254" i="9"/>
  <c r="AK254" i="9"/>
  <c r="AU254" i="9"/>
  <c r="V255" i="9"/>
  <c r="W255" i="9"/>
  <c r="AK255" i="9"/>
  <c r="AU255" i="9"/>
  <c r="V256" i="9"/>
  <c r="W256" i="9"/>
  <c r="AK256" i="9"/>
  <c r="AU256" i="9"/>
  <c r="V257" i="9"/>
  <c r="W257" i="9"/>
  <c r="AK257" i="9"/>
  <c r="AU257" i="9"/>
  <c r="V258" i="9"/>
  <c r="W258" i="9"/>
  <c r="AK258" i="9"/>
  <c r="AU258" i="9"/>
  <c r="V259" i="9"/>
  <c r="W259" i="9"/>
  <c r="AK259" i="9"/>
  <c r="AU259" i="9"/>
  <c r="V260" i="9"/>
  <c r="W260" i="9"/>
  <c r="AK260" i="9"/>
  <c r="AU260" i="9"/>
  <c r="V261" i="9"/>
  <c r="W261" i="9"/>
  <c r="AK261" i="9"/>
  <c r="AU261" i="9"/>
  <c r="V262" i="9"/>
  <c r="W262" i="9"/>
  <c r="AK262" i="9"/>
  <c r="AU262" i="9"/>
  <c r="V263" i="9"/>
  <c r="W263" i="9"/>
  <c r="AK263" i="9"/>
  <c r="AU263" i="9"/>
  <c r="V264" i="9"/>
  <c r="W264" i="9"/>
  <c r="AK264" i="9"/>
  <c r="AU264" i="9"/>
  <c r="V265" i="9"/>
  <c r="W265" i="9"/>
  <c r="AK265" i="9"/>
  <c r="AU265" i="9"/>
  <c r="V266" i="9"/>
  <c r="W266" i="9"/>
  <c r="AK266" i="9"/>
  <c r="AU266" i="9"/>
  <c r="V267" i="9"/>
  <c r="W267" i="9"/>
  <c r="AK267" i="9"/>
  <c r="AU267" i="9"/>
  <c r="V268" i="9"/>
  <c r="W268" i="9"/>
  <c r="AK268" i="9"/>
  <c r="AU268" i="9"/>
  <c r="V269" i="9"/>
  <c r="W269" i="9"/>
  <c r="AK269" i="9"/>
  <c r="AU269" i="9"/>
  <c r="V270" i="9"/>
  <c r="W270" i="9"/>
  <c r="AK270" i="9"/>
  <c r="AU270" i="9"/>
  <c r="V271" i="9"/>
  <c r="W271" i="9"/>
  <c r="AK271" i="9"/>
  <c r="AU271" i="9"/>
  <c r="V272" i="9"/>
  <c r="W272" i="9"/>
  <c r="AK272" i="9"/>
  <c r="AU272" i="9"/>
  <c r="V273" i="9"/>
  <c r="W273" i="9"/>
  <c r="AK273" i="9"/>
  <c r="AU273" i="9"/>
  <c r="V274" i="9"/>
  <c r="W274" i="9"/>
  <c r="AK274" i="9"/>
  <c r="AU274" i="9"/>
  <c r="V275" i="9"/>
  <c r="W275" i="9"/>
  <c r="AK275" i="9"/>
  <c r="AU275" i="9"/>
  <c r="V276" i="9"/>
  <c r="W276" i="9"/>
  <c r="AK276" i="9"/>
  <c r="AU276" i="9"/>
  <c r="V277" i="9"/>
  <c r="W277" i="9"/>
  <c r="AK277" i="9"/>
  <c r="AU277" i="9"/>
  <c r="V278" i="9"/>
  <c r="W278" i="9"/>
  <c r="AK278" i="9"/>
  <c r="AU278" i="9"/>
  <c r="V279" i="9"/>
  <c r="W279" i="9"/>
  <c r="AK279" i="9"/>
  <c r="AU279" i="9"/>
  <c r="V280" i="9"/>
  <c r="W280" i="9"/>
  <c r="AK280" i="9"/>
  <c r="AU280" i="9"/>
  <c r="V281" i="9"/>
  <c r="W281" i="9"/>
  <c r="AK281" i="9"/>
  <c r="AU281" i="9"/>
  <c r="V282" i="9"/>
  <c r="W282" i="9"/>
  <c r="AK282" i="9"/>
  <c r="AU282" i="9"/>
  <c r="V283" i="9"/>
  <c r="W283" i="9"/>
  <c r="AK283" i="9"/>
  <c r="AU283" i="9"/>
  <c r="V284" i="9"/>
  <c r="W284" i="9"/>
  <c r="AK284" i="9"/>
  <c r="AU284" i="9"/>
  <c r="V285" i="9"/>
  <c r="W285" i="9"/>
  <c r="AK285" i="9"/>
  <c r="AU285" i="9"/>
  <c r="V286" i="9"/>
  <c r="W286" i="9"/>
  <c r="AK286" i="9"/>
  <c r="AU286" i="9"/>
  <c r="V287" i="9"/>
  <c r="W287" i="9"/>
  <c r="AK287" i="9"/>
  <c r="AU287" i="9"/>
  <c r="V288" i="9"/>
  <c r="W288" i="9"/>
  <c r="AK288" i="9"/>
  <c r="AU288" i="9"/>
  <c r="V289" i="9"/>
  <c r="W289" i="9"/>
  <c r="AK289" i="9"/>
  <c r="AU289" i="9"/>
  <c r="V290" i="9"/>
  <c r="W290" i="9"/>
  <c r="AK290" i="9"/>
  <c r="AU290" i="9"/>
  <c r="V291" i="9"/>
  <c r="W291" i="9"/>
  <c r="AK291" i="9"/>
  <c r="AU291" i="9"/>
  <c r="V292" i="9"/>
  <c r="W292" i="9"/>
  <c r="AK292" i="9"/>
  <c r="AU292" i="9"/>
  <c r="V293" i="9"/>
  <c r="W293" i="9"/>
  <c r="AK293" i="9"/>
  <c r="AU293" i="9"/>
  <c r="V294" i="9"/>
  <c r="W294" i="9"/>
  <c r="AK294" i="9"/>
  <c r="AU294" i="9"/>
  <c r="V295" i="9"/>
  <c r="W295" i="9"/>
  <c r="AK295" i="9"/>
  <c r="AU295" i="9"/>
  <c r="V296" i="9"/>
  <c r="W296" i="9"/>
  <c r="AK296" i="9"/>
  <c r="AU296" i="9"/>
  <c r="V297" i="9"/>
  <c r="W297" i="9"/>
  <c r="AK297" i="9"/>
  <c r="AU297" i="9"/>
  <c r="V298" i="9"/>
  <c r="W298" i="9"/>
  <c r="AK298" i="9"/>
  <c r="AU298" i="9"/>
  <c r="V299" i="9"/>
  <c r="W299" i="9"/>
  <c r="AK299" i="9"/>
  <c r="AU299" i="9"/>
  <c r="V300" i="9"/>
  <c r="W300" i="9"/>
  <c r="AK300" i="9"/>
  <c r="AU300" i="9"/>
  <c r="V301" i="9"/>
  <c r="W301" i="9"/>
  <c r="AK301" i="9"/>
  <c r="AU301" i="9"/>
  <c r="V302" i="9"/>
  <c r="W302" i="9"/>
  <c r="AK302" i="9"/>
  <c r="AU302" i="9"/>
  <c r="V303" i="9"/>
  <c r="W303" i="9"/>
  <c r="AK303" i="9"/>
  <c r="AU303" i="9"/>
  <c r="V304" i="9"/>
  <c r="W304" i="9"/>
  <c r="AK304" i="9"/>
  <c r="AU304" i="9"/>
  <c r="V305" i="9"/>
  <c r="W305" i="9"/>
  <c r="AK305" i="9"/>
  <c r="AU305" i="9"/>
  <c r="V306" i="9"/>
  <c r="W306" i="9"/>
  <c r="AK306" i="9"/>
  <c r="AU306" i="9"/>
  <c r="V307" i="9"/>
  <c r="W307" i="9"/>
  <c r="AK307" i="9"/>
  <c r="AU307" i="9"/>
  <c r="V308" i="9"/>
  <c r="W308" i="9"/>
  <c r="AK308" i="9"/>
  <c r="AU308" i="9"/>
  <c r="V309" i="9"/>
  <c r="W309" i="9"/>
  <c r="AK309" i="9"/>
  <c r="AU309" i="9"/>
  <c r="V310" i="9"/>
  <c r="W310" i="9"/>
  <c r="AK310" i="9"/>
  <c r="AU310" i="9"/>
  <c r="V311" i="9"/>
  <c r="W311" i="9"/>
  <c r="AK311" i="9"/>
  <c r="AU311" i="9"/>
  <c r="V312" i="9"/>
  <c r="W312" i="9"/>
  <c r="AK312" i="9"/>
  <c r="AU312" i="9"/>
  <c r="V313" i="9"/>
  <c r="W313" i="9"/>
  <c r="AK313" i="9"/>
  <c r="AU313" i="9"/>
  <c r="V314" i="9"/>
  <c r="W314" i="9"/>
  <c r="AK314" i="9"/>
  <c r="AU314" i="9"/>
  <c r="V315" i="9"/>
  <c r="W315" i="9"/>
  <c r="AK315" i="9"/>
  <c r="AU315" i="9"/>
  <c r="V316" i="9"/>
  <c r="W316" i="9"/>
  <c r="AK316" i="9"/>
  <c r="AU316" i="9"/>
  <c r="V317" i="9"/>
  <c r="W317" i="9"/>
  <c r="AK317" i="9"/>
  <c r="AU317" i="9"/>
  <c r="V318" i="9"/>
  <c r="W318" i="9"/>
  <c r="AK318" i="9"/>
  <c r="AU318" i="9"/>
  <c r="V319" i="9"/>
  <c r="W319" i="9"/>
  <c r="AK319" i="9"/>
  <c r="AU319" i="9"/>
  <c r="V320" i="9"/>
  <c r="W320" i="9"/>
  <c r="AK320" i="9"/>
  <c r="AU320" i="9"/>
  <c r="V321" i="9"/>
  <c r="W321" i="9"/>
  <c r="AK321" i="9"/>
  <c r="AU321" i="9"/>
  <c r="V322" i="9"/>
  <c r="W322" i="9"/>
  <c r="AK322" i="9"/>
  <c r="AU322" i="9"/>
  <c r="V323" i="9"/>
  <c r="W323" i="9"/>
  <c r="AK323" i="9"/>
  <c r="AU323" i="9"/>
  <c r="V324" i="9"/>
  <c r="W324" i="9"/>
  <c r="AK324" i="9"/>
  <c r="AU324" i="9"/>
  <c r="V325" i="9"/>
  <c r="W325" i="9"/>
  <c r="AK325" i="9"/>
  <c r="AU325" i="9"/>
  <c r="V326" i="9"/>
  <c r="W326" i="9"/>
  <c r="AK326" i="9"/>
  <c r="AU326" i="9"/>
  <c r="V327" i="9"/>
  <c r="W327" i="9"/>
  <c r="AK327" i="9"/>
  <c r="AU327" i="9"/>
  <c r="V328" i="9"/>
  <c r="W328" i="9"/>
  <c r="AK328" i="9"/>
  <c r="AU328" i="9"/>
  <c r="V329" i="9"/>
  <c r="W329" i="9"/>
  <c r="AK329" i="9"/>
  <c r="AU329" i="9"/>
  <c r="V330" i="9"/>
  <c r="W330" i="9"/>
  <c r="AK330" i="9"/>
  <c r="AU330" i="9"/>
  <c r="V331" i="9"/>
  <c r="W331" i="9"/>
  <c r="AK331" i="9"/>
  <c r="AU331" i="9"/>
  <c r="V332" i="9"/>
  <c r="W332" i="9"/>
  <c r="AK332" i="9"/>
  <c r="AU332" i="9"/>
  <c r="V333" i="9"/>
  <c r="W333" i="9"/>
  <c r="AK333" i="9"/>
  <c r="AU333" i="9"/>
  <c r="V334" i="9"/>
  <c r="W334" i="9"/>
  <c r="AK334" i="9"/>
  <c r="AU334" i="9"/>
  <c r="V335" i="9"/>
  <c r="W335" i="9"/>
  <c r="AK335" i="9"/>
  <c r="AU335" i="9"/>
  <c r="V336" i="9"/>
  <c r="W336" i="9"/>
  <c r="AK336" i="9"/>
  <c r="AU336" i="9"/>
  <c r="V337" i="9"/>
  <c r="W337" i="9"/>
  <c r="AK337" i="9"/>
  <c r="AU337" i="9"/>
  <c r="V338" i="9"/>
  <c r="W338" i="9"/>
  <c r="AK338" i="9"/>
  <c r="AU338" i="9"/>
  <c r="V339" i="9"/>
  <c r="W339" i="9"/>
  <c r="AK339" i="9"/>
  <c r="AU339" i="9"/>
  <c r="V340" i="9"/>
  <c r="W340" i="9"/>
  <c r="AK340" i="9"/>
  <c r="AU340" i="9"/>
  <c r="V341" i="9"/>
  <c r="W341" i="9"/>
  <c r="AK341" i="9"/>
  <c r="AU341" i="9"/>
  <c r="V342" i="9"/>
  <c r="W342" i="9"/>
  <c r="AK342" i="9"/>
  <c r="AU342" i="9"/>
  <c r="V343" i="9"/>
  <c r="W343" i="9"/>
  <c r="AK343" i="9"/>
  <c r="AU343" i="9"/>
  <c r="V344" i="9"/>
  <c r="W344" i="9"/>
  <c r="AK344" i="9"/>
  <c r="AU344" i="9"/>
  <c r="V345" i="9"/>
  <c r="W345" i="9"/>
  <c r="AK345" i="9"/>
  <c r="AU345" i="9"/>
  <c r="V346" i="9"/>
  <c r="W346" i="9"/>
  <c r="AK346" i="9"/>
  <c r="AU346" i="9"/>
  <c r="V347" i="9"/>
  <c r="W347" i="9"/>
  <c r="AK347" i="9"/>
  <c r="AU347" i="9"/>
  <c r="V348" i="9"/>
  <c r="W348" i="9"/>
  <c r="AK348" i="9"/>
  <c r="AU348" i="9"/>
  <c r="V349" i="9"/>
  <c r="W349" i="9"/>
  <c r="AK349" i="9"/>
  <c r="AU349" i="9"/>
  <c r="V350" i="9"/>
  <c r="W350" i="9"/>
  <c r="AK350" i="9"/>
  <c r="AU350" i="9"/>
  <c r="V351" i="9"/>
  <c r="W351" i="9"/>
  <c r="AK351" i="9"/>
  <c r="AU351" i="9"/>
  <c r="V352" i="9"/>
  <c r="W352" i="9"/>
  <c r="AK352" i="9"/>
  <c r="AU352" i="9"/>
  <c r="V353" i="9"/>
  <c r="W353" i="9"/>
  <c r="AK353" i="9"/>
  <c r="AU353" i="9"/>
  <c r="V354" i="9"/>
  <c r="W354" i="9"/>
  <c r="AK354" i="9"/>
  <c r="AU354" i="9"/>
  <c r="V355" i="9"/>
  <c r="W355" i="9"/>
  <c r="AK355" i="9"/>
  <c r="AU355" i="9"/>
  <c r="V356" i="9"/>
  <c r="W356" i="9"/>
  <c r="AK356" i="9"/>
  <c r="AU356" i="9"/>
  <c r="V357" i="9"/>
  <c r="W357" i="9"/>
  <c r="AK357" i="9"/>
  <c r="AU357" i="9"/>
  <c r="S8" i="10"/>
  <c r="S7" i="10"/>
  <c r="S6" i="10"/>
  <c r="M6" i="10"/>
  <c r="S5" i="10"/>
  <c r="M5" i="10"/>
  <c r="S4" i="10"/>
  <c r="M4" i="10"/>
  <c r="S3" i="10"/>
  <c r="M3" i="10"/>
  <c r="S2" i="10"/>
  <c r="M2" i="10"/>
  <c r="W2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AV412" i="9"/>
  <c r="AL412" i="9"/>
  <c r="X412" i="9"/>
  <c r="AV411" i="9"/>
  <c r="AL411" i="9"/>
  <c r="X411" i="9"/>
  <c r="AV410" i="9"/>
  <c r="AL410" i="9"/>
  <c r="X410" i="9"/>
  <c r="AV409" i="9"/>
  <c r="AL409" i="9"/>
  <c r="X409" i="9"/>
  <c r="AV408" i="9"/>
  <c r="AL408" i="9"/>
  <c r="X408" i="9"/>
  <c r="AV407" i="9"/>
  <c r="AL407" i="9"/>
  <c r="X407" i="9"/>
  <c r="AV406" i="9"/>
  <c r="AL406" i="9"/>
  <c r="X406" i="9"/>
  <c r="AV405" i="9"/>
  <c r="AL405" i="9"/>
  <c r="X405" i="9"/>
  <c r="AV404" i="9"/>
  <c r="AL404" i="9"/>
  <c r="X404" i="9"/>
  <c r="AV403" i="9"/>
  <c r="AL403" i="9"/>
  <c r="X403" i="9"/>
  <c r="AV402" i="9"/>
  <c r="AL402" i="9"/>
  <c r="X402" i="9"/>
  <c r="AV401" i="9"/>
  <c r="AL401" i="9"/>
  <c r="X401" i="9"/>
  <c r="AV400" i="9"/>
  <c r="AL400" i="9"/>
  <c r="X400" i="9"/>
  <c r="AV399" i="9"/>
  <c r="AL399" i="9"/>
  <c r="X399" i="9"/>
  <c r="AV398" i="9"/>
  <c r="AL398" i="9"/>
  <c r="X398" i="9"/>
  <c r="AV397" i="9"/>
  <c r="AL397" i="9"/>
  <c r="X397" i="9"/>
  <c r="AV396" i="9"/>
  <c r="AL396" i="9"/>
  <c r="X396" i="9"/>
  <c r="AV395" i="9"/>
  <c r="AL395" i="9"/>
  <c r="X395" i="9"/>
  <c r="AV394" i="9"/>
  <c r="AL394" i="9"/>
  <c r="X394" i="9"/>
  <c r="AV393" i="9"/>
  <c r="AL393" i="9"/>
  <c r="X393" i="9"/>
  <c r="AV392" i="9"/>
  <c r="AL392" i="9"/>
  <c r="X392" i="9"/>
  <c r="AV391" i="9"/>
  <c r="AL391" i="9"/>
  <c r="X391" i="9"/>
  <c r="AV390" i="9"/>
  <c r="AL390" i="9"/>
  <c r="X390" i="9"/>
  <c r="AV389" i="9"/>
  <c r="AL389" i="9"/>
  <c r="X389" i="9"/>
  <c r="AV388" i="9"/>
  <c r="AL388" i="9"/>
  <c r="X388" i="9"/>
  <c r="AV387" i="9"/>
  <c r="X387" i="9"/>
  <c r="AV386" i="9"/>
  <c r="AL386" i="9"/>
  <c r="X386" i="9"/>
  <c r="AV385" i="9"/>
  <c r="AL385" i="9"/>
  <c r="X385" i="9"/>
  <c r="AV384" i="9"/>
  <c r="AL384" i="9"/>
  <c r="X384" i="9"/>
  <c r="AV383" i="9"/>
  <c r="AL383" i="9"/>
  <c r="X383" i="9"/>
  <c r="AV382" i="9"/>
  <c r="AL382" i="9"/>
  <c r="X382" i="9"/>
  <c r="AV381" i="9"/>
  <c r="AL381" i="9"/>
  <c r="X381" i="9"/>
  <c r="AV380" i="9"/>
  <c r="AL380" i="9"/>
  <c r="X380" i="9"/>
  <c r="AV379" i="9"/>
  <c r="AL379" i="9"/>
  <c r="X379" i="9"/>
  <c r="AV378" i="9"/>
  <c r="AL378" i="9"/>
  <c r="X378" i="9"/>
  <c r="AV377" i="9"/>
  <c r="AL377" i="9"/>
  <c r="X377" i="9"/>
  <c r="AV376" i="9"/>
  <c r="AL376" i="9"/>
  <c r="X376" i="9"/>
  <c r="AV375" i="9"/>
  <c r="AL375" i="9"/>
  <c r="X375" i="9"/>
  <c r="AV374" i="9"/>
  <c r="AL374" i="9"/>
  <c r="X374" i="9"/>
  <c r="AV373" i="9"/>
  <c r="AL373" i="9"/>
  <c r="X373" i="9"/>
  <c r="AV372" i="9"/>
  <c r="AL372" i="9"/>
  <c r="X372" i="9"/>
  <c r="AV371" i="9"/>
  <c r="AL371" i="9"/>
  <c r="X371" i="9"/>
  <c r="AV370" i="9"/>
  <c r="AL370" i="9"/>
  <c r="X370" i="9"/>
  <c r="AV369" i="9"/>
  <c r="AL369" i="9"/>
  <c r="X369" i="9"/>
  <c r="AV368" i="9"/>
  <c r="AL368" i="9"/>
  <c r="X368" i="9"/>
  <c r="AV367" i="9"/>
  <c r="AL367" i="9"/>
  <c r="X367" i="9"/>
  <c r="AV366" i="9"/>
  <c r="AL366" i="9"/>
  <c r="X366" i="9"/>
  <c r="AV365" i="9"/>
  <c r="AL365" i="9"/>
  <c r="X365" i="9"/>
  <c r="AV364" i="9"/>
  <c r="AL364" i="9"/>
  <c r="X364" i="9"/>
  <c r="AV363" i="9"/>
  <c r="AL363" i="9"/>
  <c r="X363" i="9"/>
  <c r="AV362" i="9"/>
  <c r="AL362" i="9"/>
  <c r="X362" i="9"/>
  <c r="AV361" i="9"/>
  <c r="AL361" i="9"/>
  <c r="X361" i="9"/>
  <c r="AV360" i="9"/>
  <c r="AL360" i="9"/>
  <c r="X360" i="9"/>
  <c r="AV359" i="9"/>
  <c r="AL359" i="9"/>
  <c r="X359" i="9"/>
  <c r="AV358" i="9"/>
  <c r="AL358" i="9"/>
  <c r="X358" i="9"/>
  <c r="AV2" i="9"/>
  <c r="AL2" i="9"/>
  <c r="X2" i="9"/>
</calcChain>
</file>

<file path=xl/sharedStrings.xml><?xml version="1.0" encoding="utf-8"?>
<sst xmlns="http://schemas.openxmlformats.org/spreadsheetml/2006/main" count="5471" uniqueCount="1489">
  <si>
    <t>In Progress</t>
  </si>
  <si>
    <t>Ben</t>
  </si>
  <si>
    <t>87a71bc53de6d2ed0adb88246201a066</t>
  </si>
  <si>
    <t>key</t>
  </si>
  <si>
    <t>92349ee1021acf0b7c7d2d656277fbf82fda978faa854ef9bd8cac85420670dc</t>
  </si>
  <si>
    <t>token</t>
  </si>
  <si>
    <t>odRCVp6c</t>
  </si>
  <si>
    <t>dNqmB4yv</t>
  </si>
  <si>
    <t>Area</t>
  </si>
  <si>
    <t>Department</t>
  </si>
  <si>
    <t>Sponsor</t>
  </si>
  <si>
    <t>Team</t>
  </si>
  <si>
    <t>Steward</t>
  </si>
  <si>
    <t>Status</t>
  </si>
  <si>
    <t>Scope</t>
  </si>
  <si>
    <t>Health</t>
  </si>
  <si>
    <t>Month</t>
  </si>
  <si>
    <t>Year</t>
  </si>
  <si>
    <t>Client Breakdown</t>
  </si>
  <si>
    <t>Employee Breakdown</t>
  </si>
  <si>
    <t>Impact Value</t>
  </si>
  <si>
    <t>Pathway</t>
  </si>
  <si>
    <t>Instruction</t>
  </si>
  <si>
    <t>Alan</t>
  </si>
  <si>
    <t>RED</t>
  </si>
  <si>
    <t>Daniel</t>
  </si>
  <si>
    <t>Up Next</t>
  </si>
  <si>
    <t>Micro</t>
  </si>
  <si>
    <t>Green</t>
  </si>
  <si>
    <t>Jan</t>
  </si>
  <si>
    <t>Online Learning</t>
  </si>
  <si>
    <t>Christy Owens</t>
  </si>
  <si>
    <t>Jumbo</t>
  </si>
  <si>
    <t>Student Services</t>
  </si>
  <si>
    <t>Online CurrDev</t>
  </si>
  <si>
    <t>Eric</t>
  </si>
  <si>
    <t>Data</t>
  </si>
  <si>
    <t>Curtis</t>
  </si>
  <si>
    <t>On Hold</t>
  </si>
  <si>
    <t>Small</t>
  </si>
  <si>
    <t>Yellow</t>
  </si>
  <si>
    <t>Feb</t>
  </si>
  <si>
    <t>Curriculum Development</t>
  </si>
  <si>
    <t>Emily Herman</t>
  </si>
  <si>
    <t>High</t>
  </si>
  <si>
    <t>Campus CurrDev</t>
  </si>
  <si>
    <t>Peter</t>
  </si>
  <si>
    <t>Review</t>
  </si>
  <si>
    <t>Joshua</t>
  </si>
  <si>
    <t>Medium</t>
  </si>
  <si>
    <t>Red</t>
  </si>
  <si>
    <t>Mar</t>
  </si>
  <si>
    <t>Aaron Ball</t>
  </si>
  <si>
    <t>Course Improvement</t>
  </si>
  <si>
    <t>P&amp;C</t>
  </si>
  <si>
    <t>Aaron</t>
  </si>
  <si>
    <t>Complete</t>
  </si>
  <si>
    <t>Large</t>
  </si>
  <si>
    <t>Apr</t>
  </si>
  <si>
    <t>Campus</t>
  </si>
  <si>
    <t>Joshual Holt</t>
  </si>
  <si>
    <t>Low</t>
  </si>
  <si>
    <t>Online-wide</t>
  </si>
  <si>
    <t>Employment and Sched</t>
  </si>
  <si>
    <t>Matt</t>
  </si>
  <si>
    <t>Steve W</t>
  </si>
  <si>
    <t>Archived</t>
  </si>
  <si>
    <t>May</t>
  </si>
  <si>
    <t>Other</t>
  </si>
  <si>
    <t>Steve Willis</t>
  </si>
  <si>
    <t>None</t>
  </si>
  <si>
    <t>Online Programs</t>
  </si>
  <si>
    <t>Multiple</t>
  </si>
  <si>
    <t>Joel</t>
  </si>
  <si>
    <t>Emily</t>
  </si>
  <si>
    <t>Jun</t>
  </si>
  <si>
    <t>Daniel Balls</t>
  </si>
  <si>
    <t>Executive Office</t>
  </si>
  <si>
    <t>Rob</t>
  </si>
  <si>
    <t>Christy</t>
  </si>
  <si>
    <t>Jul</t>
  </si>
  <si>
    <t>Curtis Henrie</t>
  </si>
  <si>
    <t>University-wide</t>
  </si>
  <si>
    <t>Carry</t>
  </si>
  <si>
    <t>Steve S</t>
  </si>
  <si>
    <t>Aug</t>
  </si>
  <si>
    <t>JD</t>
  </si>
  <si>
    <t>Sep</t>
  </si>
  <si>
    <t>Lynne</t>
  </si>
  <si>
    <t>Oct</t>
  </si>
  <si>
    <t>Bryan J</t>
  </si>
  <si>
    <t>Nov</t>
  </si>
  <si>
    <t>James F</t>
  </si>
  <si>
    <t>Dec</t>
  </si>
  <si>
    <t>Online Executive Reports Index</t>
  </si>
  <si>
    <t>List of high-level reports for online administrators.</t>
  </si>
  <si>
    <t>David</t>
  </si>
  <si>
    <t>External Research Coordination</t>
  </si>
  <si>
    <t>Coordinating and maintaining relationships with external researchers to serve research and evaluation needs in Online Learning.</t>
  </si>
  <si>
    <t>Incomplete</t>
  </si>
  <si>
    <t>Course Outcome Achievement Reporting</t>
  </si>
  <si>
    <t>Reporting of students' course outcome achievement to course councils.</t>
  </si>
  <si>
    <t>Course Council Health Report</t>
  </si>
  <si>
    <t>Report to identify effective and unhealthy course councils.</t>
  </si>
  <si>
    <t>State of the Portfolio</t>
  </si>
  <si>
    <t>High-level report of the performance of Online Learning.</t>
  </si>
  <si>
    <t>Student Team </t>
  </si>
  <si>
    <t>Management of student employees to help serve research and evaluation needs in Online Learning.</t>
  </si>
  <si>
    <t>?</t>
  </si>
  <si>
    <t>Live Course Review</t>
  </si>
  <si>
    <t>Course-specific review of selected BYU-Idaho Online courses.</t>
  </si>
  <si>
    <t>End-of-Course and Mid-Course (Surveys)</t>
  </si>
  <si>
    <t>Course and Instructor evaluation surveys</t>
  </si>
  <si>
    <t>Lesson Level Feedback (Survey)</t>
  </si>
  <si>
    <t>Weekly student course feedback data</t>
  </si>
  <si>
    <t>Instructor Feedback (Survey)</t>
  </si>
  <si>
    <t>Instructor feedback on course performance and teaching experience.</t>
  </si>
  <si>
    <t>Owner: Daniel or Curtis</t>
  </si>
  <si>
    <t>Walk-in Service</t>
  </si>
  <si>
    <t>Record and manage requests for info that will take less than 4 hours of time. </t>
  </si>
  <si>
    <t>Online Student and Instructor Survey Log</t>
  </si>
  <si>
    <t>Log of the surveys sent to online students and instructors.</t>
  </si>
  <si>
    <t>Course Council Data Portal</t>
  </si>
  <si>
    <t>Course-specific data for online course council members and administrators.</t>
  </si>
  <si>
    <t>Pilot Evaluations</t>
  </si>
  <si>
    <t>Various levels of reporting for course councils and administrators to understand the pilot semester performance.</t>
  </si>
  <si>
    <t>New Person</t>
  </si>
  <si>
    <t>Lessons Learned</t>
  </si>
  <si>
    <t>A list of lessons learned from reports with meta-data attached for searchability.</t>
  </si>
  <si>
    <t>Sub-4 Report</t>
  </si>
  <si>
    <t>Current and historical lists of courses whose overall average is below 4.</t>
  </si>
  <si>
    <t>Course Council Support (Role of the P&amp;C Man.)</t>
  </si>
  <si>
    <t>Describes the role of the P&amp;C Manager relative to the roles of other groups</t>
  </si>
  <si>
    <t>Stokes</t>
  </si>
  <si>
    <t>Steve working on this now and then we'll get feedback from others (4/21/17)</t>
  </si>
  <si>
    <t>Course Statistics by Semester</t>
  </si>
  <si>
    <t>Shows key indicators of a course. Can be rolled up in a variety of ways.</t>
  </si>
  <si>
    <t>Learning Model Initiative</t>
  </si>
  <si>
    <t>Research and evaluation agenda related to the learning model.</t>
  </si>
  <si>
    <t>Program Evaluation Initiative</t>
  </si>
  <si>
    <t>Develop and implement patterns for program evaluation</t>
  </si>
  <si>
    <t>Currently applies only to Academic Start and ECI. May also include online academic programs.</t>
  </si>
  <si>
    <t>Measuring Teaching and Learning Initiative</t>
  </si>
  <si>
    <t>Ensure we have valid and reliable methods</t>
  </si>
  <si>
    <t>Quality Instruction Initiative</t>
  </si>
  <si>
    <t>Evaluation and R&amp;D planning related to quality instruction</t>
  </si>
  <si>
    <t>Quality Course Design</t>
  </si>
  <si>
    <t>Evaluation and R&amp;D related to quality course design</t>
  </si>
  <si>
    <t>Knowledgebase</t>
  </si>
  <si>
    <t>Title</t>
  </si>
  <si>
    <t>Description</t>
  </si>
  <si>
    <t>Previous Owner (to be deleted)</t>
  </si>
  <si>
    <t>Owner</t>
  </si>
  <si>
    <t>Load</t>
  </si>
  <si>
    <t>PSD Status</t>
  </si>
  <si>
    <t>Last Reviewed</t>
  </si>
  <si>
    <t>Notes</t>
  </si>
  <si>
    <t>Trello</t>
  </si>
  <si>
    <t>Details</t>
  </si>
  <si>
    <t>Link</t>
  </si>
  <si>
    <t>Lead</t>
  </si>
  <si>
    <t>Modified</t>
  </si>
  <si>
    <t>Project Health</t>
  </si>
  <si>
    <t>% Complete</t>
  </si>
  <si>
    <t>Sem Complete</t>
  </si>
  <si>
    <t>Sponsor*</t>
  </si>
  <si>
    <t>Start Date*</t>
  </si>
  <si>
    <t>End Date*</t>
  </si>
  <si>
    <t>Duration</t>
  </si>
  <si>
    <t>Planned Total Hrs*</t>
  </si>
  <si>
    <t>DB</t>
  </si>
  <si>
    <t>CH</t>
  </si>
  <si>
    <t>JH</t>
  </si>
  <si>
    <t>AB</t>
  </si>
  <si>
    <t>CO</t>
  </si>
  <si>
    <t>SW</t>
  </si>
  <si>
    <t>EH</t>
  </si>
  <si>
    <t>Up Next Priority</t>
  </si>
  <si>
    <t>CurrDev</t>
  </si>
  <si>
    <t>PW</t>
  </si>
  <si>
    <t>Org Impact Score</t>
  </si>
  <si>
    <t>*Learning Model (Daniel)</t>
  </si>
  <si>
    <t>*Program Eval (Curtis)</t>
  </si>
  <si>
    <t>*Measuring T&amp;L (Steve)</t>
  </si>
  <si>
    <t>*Quality Instruction (Josh)</t>
  </si>
  <si>
    <t>*Quality Course Design (Ben)</t>
  </si>
  <si>
    <t>Reduce Cost</t>
  </si>
  <si>
    <t>Student Experience</t>
  </si>
  <si>
    <t>Tools</t>
  </si>
  <si>
    <t>Other2</t>
  </si>
  <si>
    <t>Initiatives Impact Score</t>
  </si>
  <si>
    <t>R&amp;D: Safe</t>
  </si>
  <si>
    <t>R&amp;D: Big Bet</t>
  </si>
  <si>
    <t>Evaluation</t>
  </si>
  <si>
    <t>EnglishConnect 3 POC II</t>
  </si>
  <si>
    <t>Y</t>
  </si>
  <si>
    <t>https://trello.com/c/sDdAuiPu</t>
  </si>
  <si>
    <t>Competency-based Education</t>
  </si>
  <si>
    <t>https://trello.com/c/ranTTWUZ</t>
  </si>
  <si>
    <t>S17</t>
  </si>
  <si>
    <t>https://trello.com/c/3cZIp2Lb</t>
  </si>
  <si>
    <t>F15</t>
  </si>
  <si>
    <t>https://trello.com/c/0r2y4TpY</t>
  </si>
  <si>
    <t>https://trello.com/c/aSRz088i</t>
  </si>
  <si>
    <t>https://trello.com/c/xjKYsFO4</t>
  </si>
  <si>
    <t>Remote Proctoring Evaluation</t>
  </si>
  <si>
    <t>https://trello.com/c/7dPAzcQt</t>
  </si>
  <si>
    <t/>
  </si>
  <si>
    <t>https://trello.com/c/6MkQ0jVC</t>
  </si>
  <si>
    <t>I-Learn 3.0 Usability Task Force</t>
  </si>
  <si>
    <t>https://trello.com/c/8DR4SHRw</t>
  </si>
  <si>
    <t>https://trello.com/c/Gt9YvnwT</t>
  </si>
  <si>
    <t>WI17</t>
  </si>
  <si>
    <t>Product Development: Pilot Evaluation</t>
  </si>
  <si>
    <t>https://trello.com/c/iHigzfXE</t>
  </si>
  <si>
    <t>https://trello.com/c/G4ititkg/365-lesson-level-evaluation-strategy</t>
  </si>
  <si>
    <t>Due Dates</t>
  </si>
  <si>
    <t>https://trello.com/c/0Rl2oUNo</t>
  </si>
  <si>
    <t>PathwayConnect Evaluation Strategy</t>
  </si>
  <si>
    <t>https://trello.com/c/bLrzcrGM</t>
  </si>
  <si>
    <t>https://trello.com/c/YavEHr1V</t>
  </si>
  <si>
    <t>3rd Semester Survey Consolidation</t>
  </si>
  <si>
    <t>https://trello.com/c/WDTL0LFx</t>
  </si>
  <si>
    <t>https://trello.com/c/U9DLL8SA</t>
  </si>
  <si>
    <t>Student Community, TOA</t>
  </si>
  <si>
    <t>https://trello.com/c/3yXgBzOH</t>
  </si>
  <si>
    <t>https://trello.com/c/XUCf77ac</t>
  </si>
  <si>
    <t>https://trello.com/c/aTj6khYa</t>
  </si>
  <si>
    <t>Student Ownership</t>
  </si>
  <si>
    <t>https://trello.com/c/nWdbRrPU</t>
  </si>
  <si>
    <t>Student Profiles: Product Development</t>
  </si>
  <si>
    <t>https://trello.com/c/d2XVbcBP/308-product-development-student-profiles-attributes-medium</t>
  </si>
  <si>
    <t>https://trello.com/c/8bci8L2b</t>
  </si>
  <si>
    <t>x</t>
  </si>
  <si>
    <t>https://trello.com/c/AVOalSuP</t>
  </si>
  <si>
    <t>https://tasks.office.com/webmailbyui.onmicrosoft.com/EN-US/Home/Task/MxGa4ichrE2Zx6vaZAbqZGQAHm_G</t>
  </si>
  <si>
    <t>https://tasks.office.com/webmailbyui.onmicrosoft.com/EN-US/Home/Task/tjp-XIeQxE2Ll-eWBJ5EbGQADL6U</t>
  </si>
  <si>
    <t>Live Course Review Strategy</t>
  </si>
  <si>
    <t>https://trello.com/c/RzXPQOoq</t>
  </si>
  <si>
    <t>https://trello.com/c/ZZdlUpaM</t>
  </si>
  <si>
    <t>https://trello.com/c/oMRtN8kM</t>
  </si>
  <si>
    <t>Instructor to Student Feedback</t>
  </si>
  <si>
    <t>https://trello.com/c/lWe6R1j3/397-instructor-feedback-touchpoints-project</t>
  </si>
  <si>
    <t>Refine Instructor Survey</t>
  </si>
  <si>
    <t>https://trello.com/c/qsAXGe0n</t>
  </si>
  <si>
    <t>Synchronous/Asynchronous Preference and Personality</t>
  </si>
  <si>
    <t>https://trello.com/c/N2V8NKxt</t>
  </si>
  <si>
    <t>https://trello.com/c/fyrbXXYC</t>
  </si>
  <si>
    <t>https://trello.com/c/Tr3zh7Td</t>
  </si>
  <si>
    <t>Video Content in Online Courses</t>
  </si>
  <si>
    <t>https://trello.com/c/93VNZXbD</t>
  </si>
  <si>
    <t>Watch List: Product Development</t>
  </si>
  <si>
    <t>https://trello.com/c/6vo5lBWk</t>
  </si>
  <si>
    <t>https://trello.com/c/BBuBf51r</t>
  </si>
  <si>
    <t>F16</t>
  </si>
  <si>
    <t>Strategies for Measuring Learning</t>
  </si>
  <si>
    <t>https://trello.com/c/H6bLf8D7</t>
  </si>
  <si>
    <t>https://trello.com/c/H50hw62u</t>
  </si>
  <si>
    <t>https://trello.com/c/jeBSR1uo</t>
  </si>
  <si>
    <t>Survey Policy Evaluation</t>
  </si>
  <si>
    <t>https://trello.com/c/Z4V4P7kJ</t>
  </si>
  <si>
    <t>https://trello.com/c/2LnzHN1V/569-mentoring-technology-solution</t>
  </si>
  <si>
    <t>Analysis of Cheating</t>
  </si>
  <si>
    <t>https://trello.com/c/9eqz5dpI</t>
  </si>
  <si>
    <t>Instructional Teams</t>
  </si>
  <si>
    <t>https://trello.com/c/0RSVUHUv</t>
  </si>
  <si>
    <t>Understand Online Program Attrition</t>
  </si>
  <si>
    <t>https://trello.com/c/2ZL1ZHTp</t>
  </si>
  <si>
    <t>Pathway Effect</t>
  </si>
  <si>
    <t>https://trello.com/c/s3l7NzTc</t>
  </si>
  <si>
    <t>https://trello.com/c/wXv61poI</t>
  </si>
  <si>
    <t>TrelloID</t>
  </si>
  <si>
    <t>Board</t>
  </si>
  <si>
    <t>Bucket/List</t>
  </si>
  <si>
    <t>Assigned</t>
  </si>
  <si>
    <t>58e50e73b026e16ed0022dbc</t>
  </si>
  <si>
    <t>Research mixing online and campus sections</t>
  </si>
  <si>
    <t>https://trello.com/c/Gsv5lkz0/568-research-mixing-online-and-campus-sections</t>
  </si>
  <si>
    <t>582e301254395e849e5b2b9c</t>
  </si>
  <si>
    <t>Instructor announcements within IL3</t>
  </si>
  <si>
    <t>https://trello.com/c/5iyrRJVp/394-instructor-announcements-within-il3</t>
  </si>
  <si>
    <t>575b24a6c4ebbc8075747419</t>
  </si>
  <si>
    <t>Meta-evaluation of Evaluation and Big Lessons Learned SMALL</t>
  </si>
  <si>
    <t>https://trello.com/c/mAMd4rKS/364-meta-evaluation-of-evaluation-and-big-lessons-learned-small</t>
  </si>
  <si>
    <t>550b2cdbac6e25a206d78ab5</t>
  </si>
  <si>
    <t>Celebrating and replicating positive findings</t>
  </si>
  <si>
    <t>https://trello.com/c/mQSrFbxq/268-celebrating-and-replicating-positive-findings</t>
  </si>
  <si>
    <t>54e74e101afde6913be9cd7b</t>
  </si>
  <si>
    <t>55fb3145fedeb3af7b647ba3</t>
  </si>
  <si>
    <t>Product Development: Brown Bags</t>
  </si>
  <si>
    <t>https://trello.com/c/QJFt6RjP/298-product-development-brown-bags</t>
  </si>
  <si>
    <t>56378e8118de8c9954609c39</t>
  </si>
  <si>
    <t>How do we create online versions of classroom based activities that don't translate well.</t>
  </si>
  <si>
    <t>https://trello.com/c/wRf7kYC6/314-how-do-we-create-online-versions-of-classroom-based-activities-that-dont-translate-well</t>
  </si>
  <si>
    <t>5804e7bf0031db64c5a1d37a</t>
  </si>
  <si>
    <t>Case Study of Daniel Baird</t>
  </si>
  <si>
    <t>https://trello.com/c/584NKjZu/388-case-study-of-daniel-baird</t>
  </si>
  <si>
    <t>579165e08b278d0e71928824</t>
  </si>
  <si>
    <t>Evaluation of CES Global Initiative Relationships MEDIUM</t>
  </si>
  <si>
    <t>https://trello.com/c/J4bquzJ1/369-evaluation-of-ces-global-initiative-relationships-medium</t>
  </si>
  <si>
    <t>53fb6788688271002be149a8</t>
  </si>
  <si>
    <t>Product Development:  Online Instructor Inter-rater Reliability (Grade Inflation Component)</t>
  </si>
  <si>
    <t>https://trello.com/c/iAROQzPy/228-product-development-online-instructor-inter-rater-reliability-grade-inflation-component</t>
  </si>
  <si>
    <t>55030d8b7bf106d390770af6</t>
  </si>
  <si>
    <t>ERR Analysis</t>
  </si>
  <si>
    <t>https://trello.com/c/eoUdUlnK/263-err-analysis</t>
  </si>
  <si>
    <t>57e446da63c2f1a561bf1f2f</t>
  </si>
  <si>
    <t>Block: Phase 4</t>
  </si>
  <si>
    <t>https://trello.com/c/MECJhFgI/381-block-phase-4</t>
  </si>
  <si>
    <t>58509419df98c7cb628517e6</t>
  </si>
  <si>
    <t>Course and Variant Counts</t>
  </si>
  <si>
    <t>https://trello.com/c/BHcWlKi8/398-course-and-variant-counts</t>
  </si>
  <si>
    <t>566b00735053275fa6c459e4</t>
  </si>
  <si>
    <t>Course Quality Specifications, Measurements, and Process (__A-II)</t>
  </si>
  <si>
    <t>https://trello.com/c/s1K86BTT/477-course-quality-specifications-measurements-and-process-a-ii</t>
  </si>
  <si>
    <t>55d3aa8f67832d0bf9042cc7</t>
  </si>
  <si>
    <t>TOA Value Recognition (__B) (TOA)</t>
  </si>
  <si>
    <t>https://trello.com/c/HJbgU0bp/473-toa-value-recognition-b-toa</t>
  </si>
  <si>
    <t>55bfde86409eca5274e7ad9c</t>
  </si>
  <si>
    <t>Online Interaction Guidelines (__A) (TOA)</t>
  </si>
  <si>
    <t>https://trello.com/c/d79jNLmJ/469-online-interaction-guidelines-a-toa</t>
  </si>
  <si>
    <t>506b086ba8a3cf6d5a7fb179</t>
  </si>
  <si>
    <t>Course English-Level Analysis (67A)</t>
  </si>
  <si>
    <t>https://trello.com/c/xJ9VPExm/476-course-english-level-analysis-67a</t>
  </si>
  <si>
    <t>505b9def853af2c40536fa54</t>
  </si>
  <si>
    <t>Open Whole-Course Content (51C-III)</t>
  </si>
  <si>
    <t>https://trello.com/c/mdsoRJ68/457-open-whole-course-content-51c-iii</t>
  </si>
  <si>
    <t>512cf9b53c0d2bce3c00553c</t>
  </si>
  <si>
    <t>Internal MOOC-Inspired Project(s) (60C)</t>
  </si>
  <si>
    <t>https://trello.com/c/BxocjeSC/459-internal-mooc-inspired-projects-60c</t>
  </si>
  <si>
    <t>54da5d128e6352beba9eabe5</t>
  </si>
  <si>
    <t>Kahn Academy</t>
  </si>
  <si>
    <t>https://trello.com/c/SVwuf7M6/448-kahn-academy</t>
  </si>
  <si>
    <t>5134f7f034aaec6b4300c199</t>
  </si>
  <si>
    <t>Online Class Community (35B)</t>
  </si>
  <si>
    <t>https://trello.com/c/FJfY353l/465-online-class-community-35b</t>
  </si>
  <si>
    <t>50cf64ab44de92ea78009b9a</t>
  </si>
  <si>
    <t>Student Peer Graded Activities and Tool</t>
  </si>
  <si>
    <t>https://trello.com/c/8vK2wl1j/408-student-peer-graded-activities-and-tool</t>
  </si>
  <si>
    <t>51191319ac45d37172005619</t>
  </si>
  <si>
    <t>Asynchronous Audio-Video Tool Testing</t>
  </si>
  <si>
    <t>https://trello.com/c/Wj23qUtK/416-asynchronous-audio-video-tool-testing</t>
  </si>
  <si>
    <t>51795cc91807b7175c000a86</t>
  </si>
  <si>
    <t>Online Instructor Modular Course Development</t>
  </si>
  <si>
    <t>https://trello.com/c/TLkft5sP/423-online-instructor-modular-course-development</t>
  </si>
  <si>
    <t>506b084ca8a3cf6d5a7f82e5</t>
  </si>
  <si>
    <t>Message Design: representing activities that cut across multiple weeks</t>
  </si>
  <si>
    <t>https://trello.com/c/43s19wFN/433-message-design-representing-activities-that-cut-across-multiple-weeks</t>
  </si>
  <si>
    <t>58c33e3696a3ce48cb1203cc</t>
  </si>
  <si>
    <t>How can we use Facebook and BSC data?</t>
  </si>
  <si>
    <t>https://trello.com/c/83OArOTU/498-how-can-we-use-facebook-and-bsc-data</t>
  </si>
  <si>
    <t>58c969436e5358ab270e928c</t>
  </si>
  <si>
    <t>Product: Focus Group Service</t>
  </si>
  <si>
    <t>https://trello.com/c/mtijg2DR/502-product-focus-group-service</t>
  </si>
  <si>
    <t>58cbfe116f176d697b76b6f4</t>
  </si>
  <si>
    <t>Accounting for Evaluation Data in Course Design</t>
  </si>
  <si>
    <t>https://trello.com/c/Fl4RwVgJ/507-accounting-for-evaluation-data-in-course-design</t>
  </si>
  <si>
    <t>58da7dc2431594682d52d569</t>
  </si>
  <si>
    <t>Evaluation Capacity Building</t>
  </si>
  <si>
    <t>https://trello.com/c/jK9z3RLJ/551-evaluation-capacity-building</t>
  </si>
  <si>
    <t>58faa2237a93e12da4fbb2cf</t>
  </si>
  <si>
    <t>Teach One-Another - Next steps</t>
  </si>
  <si>
    <t>https://trello.com/c/H3oE1cGe/574-teach-one-another-next-steps</t>
  </si>
  <si>
    <t>58faa2cff8156cd88baa3c62</t>
  </si>
  <si>
    <t>Alumni Review of a Course</t>
  </si>
  <si>
    <t>https://trello.com/c/bp7R02Ys/575-alumni-review-of-a-course</t>
  </si>
  <si>
    <t>5952a8b11008f8b14c22ce49</t>
  </si>
  <si>
    <t>Bright spots in design process</t>
  </si>
  <si>
    <t>https://trello.com/c/QKsXDJdg/588-bright-spots-in-design-process</t>
  </si>
  <si>
    <t>5963d1e8b63c8a85fd3a9c15</t>
  </si>
  <si>
    <t>International Student Usability Testing</t>
  </si>
  <si>
    <t>https://trello.com/c/rkePmTJw/591-international-student-usability-testing</t>
  </si>
  <si>
    <t>596d7248cd176c750e38ba35</t>
  </si>
  <si>
    <t>Using exams as a teaching tool</t>
  </si>
  <si>
    <t>https://trello.com/c/XT5BD6GM/593-using-exams-as-a-teaching-tool</t>
  </si>
  <si>
    <t>58cc2a1225076d196ba956b7</t>
  </si>
  <si>
    <t>https://trello.com/c/2ZL1ZHTp/512-understand-online-program-attrition</t>
  </si>
  <si>
    <t>58c1956ce52eee3b34327b7d</t>
  </si>
  <si>
    <t>https://trello.com/c/H6bLf8D7/496-strategies-for-measuring-learning</t>
  </si>
  <si>
    <t>591dc930fb83fd5ae4b80d38</t>
  </si>
  <si>
    <t>Perusall R&amp;D (Fall Pilot)</t>
  </si>
  <si>
    <t>https://trello.com/c/oMRtN8kM/581-perusall-rd-fall-pilot</t>
  </si>
  <si>
    <t>573cc677ef2309876ba0ea99</t>
  </si>
  <si>
    <t>https://trello.com/c/0Rl2oUNo/360-due-dates</t>
  </si>
  <si>
    <t>58a859cb03ca1abe1d13ac8b</t>
  </si>
  <si>
    <t>Course health flags (Data team?)</t>
  </si>
  <si>
    <t>https://trello.com/c/6MkQ0jVC/488-course-health-flags-data-team</t>
  </si>
  <si>
    <t>5971221e6110bd25db1f8c19</t>
  </si>
  <si>
    <t>STEM Courses Study</t>
  </si>
  <si>
    <t>https://trello.com/c/UtqhblsJ/596-stem-courses-study</t>
  </si>
  <si>
    <t>58458a51ba790b69786548d3</t>
  </si>
  <si>
    <t>Assist Instruction with Survey Strategy SMALL</t>
  </si>
  <si>
    <t>https://trello.com/c/xjKYsFO4/396-assist-instruction-with-survey-strategy-small</t>
  </si>
  <si>
    <t>550311586c270db90b169118</t>
  </si>
  <si>
    <t>Exit Interview Analysis for Instructors</t>
  </si>
  <si>
    <t>https://trello.com/c/B7odTBoW/264-exit-interview-analysis-for-instructors</t>
  </si>
  <si>
    <t>554283ad5621b23ca4788dc5</t>
  </si>
  <si>
    <t>Pathway Grading Audit</t>
  </si>
  <si>
    <t>https://trello.com/c/ps9x6l5t/274-pathway-grading-audit</t>
  </si>
  <si>
    <t>57ec25be1df6bbf6cb2c117b</t>
  </si>
  <si>
    <t>Program Health Report</t>
  </si>
  <si>
    <t>https://trello.com/c/08nKthRy/382-program-health-report</t>
  </si>
  <si>
    <t>568efbdfc65a2b676a6eff88</t>
  </si>
  <si>
    <t>ROI Report</t>
  </si>
  <si>
    <t>https://trello.com/c/vngwrqIJ/335-roi-report</t>
  </si>
  <si>
    <t>5808f035719e413aa4c0808e</t>
  </si>
  <si>
    <t>Mid Course Modifications</t>
  </si>
  <si>
    <t>https://trello.com/c/iV0jruOo/389-mid-course-modifications</t>
  </si>
  <si>
    <t>57ed54165551c8e428fcb6b9</t>
  </si>
  <si>
    <t>Study top rated courses</t>
  </si>
  <si>
    <t>https://trello.com/c/dGbTM9B7/385-study-top-rated-courses</t>
  </si>
  <si>
    <t>55f9e470d51df5b03e8fe7b7</t>
  </si>
  <si>
    <t>TOA Synchronous Activities Online (__C) (TOA)</t>
  </si>
  <si>
    <t>https://trello.com/c/BKvc1KUm/474-toa-synchronous-activities-online-c-toa</t>
  </si>
  <si>
    <t>5388f6784bb720cf1ab19cb0</t>
  </si>
  <si>
    <t>Course Map Estimate - Student Reported Time</t>
  </si>
  <si>
    <t>https://trello.com/c/tbJDqoSJ/432-course-map-estimate-student-reported-time</t>
  </si>
  <si>
    <t>57ed10180cf41ff6c802380c</t>
  </si>
  <si>
    <t>How to determine best class size</t>
  </si>
  <si>
    <t>https://trello.com/c/2bNxASf8/454-how-to-determine-best-class-size</t>
  </si>
  <si>
    <t>58a474373dbe5c36509348f0</t>
  </si>
  <si>
    <t>KPI Development with Lynne</t>
  </si>
  <si>
    <t>https://trello.com/c/0uiKcApn/487-kpi-development-with-lynne</t>
  </si>
  <si>
    <t>58a85d0ac3f73bd2e43479d7</t>
  </si>
  <si>
    <t>Leaving a Legacy</t>
  </si>
  <si>
    <t>https://trello.com/c/HWSMUtUJ/489-leaving-a-legacy</t>
  </si>
  <si>
    <t>590b8804992096ebcaca62f8</t>
  </si>
  <si>
    <t>Math Synchronous Demonstration Tool</t>
  </si>
  <si>
    <t>https://trello.com/c/LK3pCnWi/576-math-synchronous-demonstration-tool</t>
  </si>
  <si>
    <t>595124f651e29054b1ece5bf</t>
  </si>
  <si>
    <t>Analysis of Online Business Courses as PreReq*</t>
  </si>
  <si>
    <t>https://trello.com/c/zOxbg5ez/587-analysis-of-online-business-courses-as-prereq</t>
  </si>
  <si>
    <t>596a9e8d95d3b9db49622e42</t>
  </si>
  <si>
    <t>Analysis of section enrollment order</t>
  </si>
  <si>
    <t>https://trello.com/c/kPXSX7dv/592-analysis-of-section-enrollment-order</t>
  </si>
  <si>
    <t>58c6da2d3b683e05b4859cb7</t>
  </si>
  <si>
    <t>Activity-Level Feedback: Product Development</t>
  </si>
  <si>
    <t>https://trello.com/c/jeBSR1uo/499-activity-level-feedback-product-development</t>
  </si>
  <si>
    <t>5914978d1b67f040fcbc4695</t>
  </si>
  <si>
    <t>https://trello.com/c/9eqz5dpI/580-analysis-of-cheating</t>
  </si>
  <si>
    <t>5935c12b1c6858e7225b8fc1</t>
  </si>
  <si>
    <t>https://trello.com/c/0RSVUHUv/582-instructional-teams</t>
  </si>
  <si>
    <t>56e9d244ef5407d2f0610044</t>
  </si>
  <si>
    <t>593eaaa612fd5ff636fae0b4</t>
  </si>
  <si>
    <t>Instructor Growth - Measure, Incentivize, Report</t>
  </si>
  <si>
    <t>https://trello.com/c/8bci8L2b/584-instructor-growth-measure-incentivize-report</t>
  </si>
  <si>
    <t>584b341e3912582e94545941</t>
  </si>
  <si>
    <t>https://trello.com/c/lWe6R1j3/397-instructor-to-student-feedback</t>
  </si>
  <si>
    <t>5914915cfcbeedb7a521bd1e</t>
  </si>
  <si>
    <t>https://trello.com/c/qsAXGe0n/578-refine-instructor-survey</t>
  </si>
  <si>
    <t>593eaa9f8c8d4628a59179f8</t>
  </si>
  <si>
    <t>58c1955f37df0b6cdfa01576</t>
  </si>
  <si>
    <t>https://trello.com/c/3yXgBzOH/495-student-community-toa</t>
  </si>
  <si>
    <t>58c19551537fe5c9b133be74</t>
  </si>
  <si>
    <t>https://trello.com/c/nWdbRrPU/494-student-ownership</t>
  </si>
  <si>
    <t>560e9348654d6aed84174b0d</t>
  </si>
  <si>
    <t>https://trello.com/c/d2XVbcBP/308-student-profiles-product-development</t>
  </si>
  <si>
    <t>58c6dab435d5834af2d92d1e</t>
  </si>
  <si>
    <t>Walk-In Service: Product Development</t>
  </si>
  <si>
    <t>https://trello.com/c/H50hw62u/500-walk-in-service-product-development</t>
  </si>
  <si>
    <t>58accc4e84e118c6f781556d</t>
  </si>
  <si>
    <t>https://trello.com/c/bLrzcrGM/490-pathwayconnect-evaluation-strategy</t>
  </si>
  <si>
    <t>5971053598460125dad95454</t>
  </si>
  <si>
    <t>59710a7fb00fe31b113e2300</t>
  </si>
  <si>
    <t>https://trello.com/c/sDdAuiPu/595-englishconnect-3-poc-ii</t>
  </si>
  <si>
    <t>591483cc8c8568cc244435f4</t>
  </si>
  <si>
    <t>56955dd089ab780984a2dc93</t>
  </si>
  <si>
    <t>Outcomes and Assessment Improvement</t>
  </si>
  <si>
    <t>https://trello.com/c/aSRz088i/338-outcomes-and-assessment-improvement</t>
  </si>
  <si>
    <t>57c46cb55829df9f8d3778df</t>
  </si>
  <si>
    <t>https://trello.com/c/8DR4SHRw/379-i-learn-30-usability-task-force</t>
  </si>
  <si>
    <t>57ffb7e3cf992236c90d70f0</t>
  </si>
  <si>
    <t>https://trello.com/c/93VNZXbD/387-video-content-in-online-courses</t>
  </si>
  <si>
    <t>594d951f50093d45b9902252</t>
  </si>
  <si>
    <t>https://trello.com/c/WDTL0LFx/586-3rd-semester-survey-consolidation</t>
  </si>
  <si>
    <t>5952df8d6d9f85cd95e38d56</t>
  </si>
  <si>
    <t>CCDP I-Learn Gradebook sub-report</t>
  </si>
  <si>
    <t>https://trello.com/c/U9DLL8SA/589-ccdp-i-learn-gradebook-sub-report</t>
  </si>
  <si>
    <t>555391cb04837a530610fdbe</t>
  </si>
  <si>
    <t>583c661ce67d1e07884d79a5</t>
  </si>
  <si>
    <t>https://trello.com/c/N2V8NKxt/482-synchronous-asynchronous-preference-and-personality</t>
  </si>
  <si>
    <t>558491cfb0f865a22b43eb18</t>
  </si>
  <si>
    <t>https://trello.com/c/iHigzfXE/286-product-development-pilot-evaluation</t>
  </si>
  <si>
    <t>583dc465a53d827e16532379</t>
  </si>
  <si>
    <t>https://trello.com/c/ranTTWUZ/484-competency-based-education</t>
  </si>
  <si>
    <t>596008b9465497917fa602c2</t>
  </si>
  <si>
    <t>Day Students Performance and Perceptions of Online Courses</t>
  </si>
  <si>
    <t>https://trello.com/c/xlMJYtHm/590-day-students-performance-and-perceptions-of-online-courses</t>
  </si>
  <si>
    <t>5873bde8a94b161c5d479aaf</t>
  </si>
  <si>
    <t>https://trello.com/c/7dPAzcQt/485-remote-proctoring-evaluation</t>
  </si>
  <si>
    <t>584057b73c9c8cbee4973c96</t>
  </si>
  <si>
    <t>EnglishConnect 3 POC I Evaluation</t>
  </si>
  <si>
    <t>https://trello.com/c/XUCf77ac/395-englishconnect-3-poc-i-evaluation</t>
  </si>
  <si>
    <t>58864d68ffd5b1c64d910340</t>
  </si>
  <si>
    <t>Academic Integrity Survey &amp; Investigation</t>
  </si>
  <si>
    <t>https://trello.com/c/6ouvllxn/401-academic-integrity-survey-investigation</t>
  </si>
  <si>
    <t>579f86846f1fa60699fd43c6</t>
  </si>
  <si>
    <t>Product Development: Course Council Health Evaluation MEDIUM</t>
  </si>
  <si>
    <t>https://trello.com/c/aTj6khYa/374-product-development-course-council-health-evaluation-medium</t>
  </si>
  <si>
    <t>58af18becc29b7617eb91512</t>
  </si>
  <si>
    <t>I-Learn 3 Navigation Style Project</t>
  </si>
  <si>
    <t>https://trello.com/c/LFgCYnNT/491-i-learn-3-navigation-style-project</t>
  </si>
  <si>
    <t>58bde16ec9acf21c27d47f85</t>
  </si>
  <si>
    <t>Pathway Accelerated Start Interest Survey</t>
  </si>
  <si>
    <t>https://trello.com/c/YTCZvWdX/492-pathway-accelerated-start-interest-survey</t>
  </si>
  <si>
    <t>56e6ed08c74e564e478e0500</t>
  </si>
  <si>
    <t>Post-pathway Gathering Committee</t>
  </si>
  <si>
    <t>https://trello.com/c/YoXXzLV4/493-post-pathway-gathering-committee</t>
  </si>
  <si>
    <t>5640e281ae804dd55358af4a</t>
  </si>
  <si>
    <t>https://trello.com/c/Z4V4P7kJ/317-survey-policy-evaluation</t>
  </si>
  <si>
    <t>5824a337c229381798f15521</t>
  </si>
  <si>
    <t>BIO 264/BIO 265 Pass-rate Evaluation</t>
  </si>
  <si>
    <t>https://trello.com/c/Gt9YvnwT/392-bio-264-bio-265-pass-rate-evaluation</t>
  </si>
  <si>
    <t>56017e28ae7fe85ecfd6f25d</t>
  </si>
  <si>
    <t>https://trello.com/c/RzXPQOoq/299-live-course-review-strategy</t>
  </si>
  <si>
    <t>57dc1da21d086f22a08f05cb</t>
  </si>
  <si>
    <t>Block Phase 3</t>
  </si>
  <si>
    <t>https://trello.com/c/Sd5XWmfQ/380-block-phase-3</t>
  </si>
  <si>
    <t>581bbb84126c4df2a83273b6</t>
  </si>
  <si>
    <t>Pathway Non Matriculant Survey Report</t>
  </si>
  <si>
    <t>https://trello.com/c/apDvJlCr/391-pathway-non-matriculant-survey-report</t>
  </si>
  <si>
    <t>5733731f6bd097940e3fa79c</t>
  </si>
  <si>
    <t>Mid-Course Reporting using DW</t>
  </si>
  <si>
    <t>https://trello.com/c/HpEuQMJ9/358-mid-course-reporting-using-dw</t>
  </si>
  <si>
    <t>57bf5d64146625cc9f331b60</t>
  </si>
  <si>
    <t>Online Student Grievance Process Evaluation</t>
  </si>
  <si>
    <t>https://trello.com/c/Tr3zh7Td/378-online-student-grievance-process-evaluation</t>
  </si>
  <si>
    <t>5783ce9aa08d05396665e032</t>
  </si>
  <si>
    <t>Evaluation Data Validation &amp; Exploration Project</t>
  </si>
  <si>
    <t>https://trello.com/c/ZZdlUpaM/367-evaluation-data-validation-exploration-project</t>
  </si>
  <si>
    <t>560d5219e51b66254d2a707f</t>
  </si>
  <si>
    <t>Strengthened Student Outcomes</t>
  </si>
  <si>
    <t>https://trello.com/c/Vhnv74qL/505-strengthened-student-outcomes</t>
  </si>
  <si>
    <t>5134ee0aa30d99f40c00628c</t>
  </si>
  <si>
    <t>ESL Student Time-Study (71A)</t>
  </si>
  <si>
    <t>https://trello.com/c/jdJ7PdhD/506-esl-student-time-study-71a</t>
  </si>
  <si>
    <t>5714fad5beff6876daea9f01</t>
  </si>
  <si>
    <t>Course Council Data Portal - Initial Release</t>
  </si>
  <si>
    <t>https://trello.com/c/BBuBf51r/481-course-council-data-portal-initial-release</t>
  </si>
  <si>
    <t>5971352f0a13a3e0374ef7a7</t>
  </si>
  <si>
    <t>https://trello.com/c/s3l7NzTc/597-pathway-effect</t>
  </si>
  <si>
    <t>5851678be4d9b9fb5ed7a9a4</t>
  </si>
  <si>
    <t>Pathway Matriculate Experience Study</t>
  </si>
  <si>
    <t>https://trello.com/c/JV48o4Iv/399-pathway-matriculate-experience-study</t>
  </si>
  <si>
    <t>56ddcd3b5ff8dcc825daa0ee</t>
  </si>
  <si>
    <t>Due Date Evaluation</t>
  </si>
  <si>
    <t>https://trello.com/c/V7nNv1Qt/351-due-date-evaluation</t>
  </si>
  <si>
    <t>5720d59c18fc31bcd48dbf92</t>
  </si>
  <si>
    <t>Evaluation Strategy</t>
  </si>
  <si>
    <t>https://trello.com/c/OgRK1Q0w/356-evaluation-strategy</t>
  </si>
  <si>
    <t>55fb2fb7d628a25968ce9418</t>
  </si>
  <si>
    <t>Synchronous Activities Evaluation</t>
  </si>
  <si>
    <t>https://trello.com/c/XSFsGXw9/297-synchronous-activities-evaluation</t>
  </si>
  <si>
    <t>5632a7fbd6f903f33a1112da</t>
  </si>
  <si>
    <t>Block - Semester Comparison Report - Phase 2</t>
  </si>
  <si>
    <t>https://trello.com/c/Cm6rQrFI/312-block-semester-comparison-report-phase-2</t>
  </si>
  <si>
    <t>56a7f0f1c6ed749ce22e9281</t>
  </si>
  <si>
    <t>Instructor iLearn 3 Transition Survey Results</t>
  </si>
  <si>
    <t>https://trello.com/c/JNuxKSKa/341-instructor-ilearn-3-transition-survey-results</t>
  </si>
  <si>
    <t>5575bd0020f4939c5b3b8e28</t>
  </si>
  <si>
    <t>How are students interacting with our courses?</t>
  </si>
  <si>
    <t>https://trello.com/c/3TXXByAU/280-how-are-students-interacting-with-our-courses</t>
  </si>
  <si>
    <t>54e792a43cacc9e5d59b485c</t>
  </si>
  <si>
    <t>Product Development:  State of the Portfolio Report Roadmap- SMALL</t>
  </si>
  <si>
    <t>https://trello.com/c/lykJw5uw/260-product-development-state-of-the-portfolio-report-roadmap-small</t>
  </si>
  <si>
    <t>573cc83679f8bd7c1aa3cde2</t>
  </si>
  <si>
    <t>EIL Student Drop Analysis</t>
  </si>
  <si>
    <t>https://trello.com/c/YhdAcHoV/361-eil-student-drop-analysis</t>
  </si>
  <si>
    <t>560c2047aeab0079b3a4ec81</t>
  </si>
  <si>
    <t>Product Development:  Formalize Course Triage Report Process</t>
  </si>
  <si>
    <t>https://trello.com/c/tRhIyhuD/307-product-development-formalize-course-triage-report-process</t>
  </si>
  <si>
    <t>5605b8685a1b485d054e6557</t>
  </si>
  <si>
    <t>TOA Evaluation - LARGE</t>
  </si>
  <si>
    <t>https://trello.com/c/ElSRSY3x/303-toa-evaluation-large</t>
  </si>
  <si>
    <t>572cd1acb871603e159bb5e0</t>
  </si>
  <si>
    <t>FERPA/Confidentiality/Privacy Policy</t>
  </si>
  <si>
    <t>https://trello.com/c/3SA3O8uV/357-ferpa-confidentiality-privacy-policy</t>
  </si>
  <si>
    <t>579bb813856aa9ce0ff21921</t>
  </si>
  <si>
    <t>Perceived and Actual Learning Review</t>
  </si>
  <si>
    <t>https://trello.com/c/0T07wf2w/371-perceived-and-actual-learning-review</t>
  </si>
  <si>
    <t>579bd72de35f7105aed5cb7c</t>
  </si>
  <si>
    <t>Pathway Matriculate Learning Experience</t>
  </si>
  <si>
    <t>https://trello.com/c/VZzVJvdM/372-pathway-matriculate-learning-experience</t>
  </si>
  <si>
    <t>577c40a1d45cb31adb70e774</t>
  </si>
  <si>
    <t>CIT 261 Preliminary Project Analysis</t>
  </si>
  <si>
    <t>https://trello.com/c/EjiaqsCM/504-cit-261-preliminary-project-analysis</t>
  </si>
  <si>
    <t>51015481a87216d84f0009b8</t>
  </si>
  <si>
    <t>Typing Skills (9A)</t>
  </si>
  <si>
    <t>https://trello.com/c/pO1leC8N/508-typing-skills-9a</t>
  </si>
  <si>
    <t>5727bae2e3c9ef77761859bb</t>
  </si>
  <si>
    <t>57b4eb1cf7b0cc847e3a8a97</t>
  </si>
  <si>
    <t>CHEM 101 Brainhoney data export</t>
  </si>
  <si>
    <t>https://trello.com/c/q9sERdCm/510-chem-101-brainhoney-data-export</t>
  </si>
  <si>
    <t>55522b701b1e4b7e7692f475</t>
  </si>
  <si>
    <t>FDREL 121 New Version Evaluation - LARGE</t>
  </si>
  <si>
    <t>https://trello.com/c/yWmGOVO1/277-fdrel-121-new-version-evaluation-large</t>
  </si>
  <si>
    <t>540a30c33838cbbc436938ea</t>
  </si>
  <si>
    <t>Internal Study: FDREL 121 Data Comparison - SMALL</t>
  </si>
  <si>
    <t>https://trello.com/c/2coT2BbY/229-internal-study-fdrel-121-data-comparison-small</t>
  </si>
  <si>
    <t>568ef67de51a02071825466d</t>
  </si>
  <si>
    <t>LDS BC Grade Comparison - SMALL</t>
  </si>
  <si>
    <t>https://trello.com/c/7PQgc6R1/334-lds-bc-grade-comparison-small</t>
  </si>
  <si>
    <t>56aa7a45dbbd0c21e43c2b0d</t>
  </si>
  <si>
    <t>Root Cause Report</t>
  </si>
  <si>
    <t>https://trello.com/c/vUTA38Km/342-root-cause-report</t>
  </si>
  <si>
    <t>5632656ca7213166fc35c64b</t>
  </si>
  <si>
    <t>Product: Alternative Mid-Course and End-of-Course Report System</t>
  </si>
  <si>
    <t>https://trello.com/c/NQHA5CoG/311-product-alternative-mid-course-and-end-of-course-report-system</t>
  </si>
  <si>
    <t>568d54538501736b5ebcf0cc</t>
  </si>
  <si>
    <t>Dropout rate evaluation</t>
  </si>
  <si>
    <t>https://trello.com/c/MuK7fGPk/332-dropout-rate-evaluation</t>
  </si>
  <si>
    <t>551569847508c82864ec2be4</t>
  </si>
  <si>
    <t>Top-performing Instructors Evaluation - MEDIUM</t>
  </si>
  <si>
    <t>https://trello.com/c/58aj6krU/271-top-performing-instructors-evaluation-medium</t>
  </si>
  <si>
    <t>564d088d32dbec5af6e429c5</t>
  </si>
  <si>
    <t>Literature Review of Synchronous Activities - SMALL</t>
  </si>
  <si>
    <t>https://trello.com/c/MChnPaRo/323-literature-review-of-synchronous-activities-small</t>
  </si>
  <si>
    <t>56d48c3094396939aa05eda9</t>
  </si>
  <si>
    <t>Finalize Quick Course Reports</t>
  </si>
  <si>
    <t>https://trello.com/c/WChnMEWT/349-finalize-quick-course-reports</t>
  </si>
  <si>
    <t>5453e140f8d54435fc765265</t>
  </si>
  <si>
    <t>CHEM 101 - Multiple Modes of Delivery</t>
  </si>
  <si>
    <t>https://trello.com/c/ycJWOsU9/511-chem-101-multiple-modes-of-delivery</t>
  </si>
  <si>
    <t>56534aea8bbe3a585b5a7bc9</t>
  </si>
  <si>
    <t>Online Statistics By Semester (__B-II)</t>
  </si>
  <si>
    <t>https://trello.com/c/Uug1bajH/513-online-statistics-by-semester-b-ii</t>
  </si>
  <si>
    <t>561c0be0b0b30d751895319e</t>
  </si>
  <si>
    <t>Qualtrics Vocalize Test (__A-I)</t>
  </si>
  <si>
    <t>https://trello.com/c/OvrtAc5F/514-qualtrics-vocalize-test-a-i</t>
  </si>
  <si>
    <t>512ce9093126ba116300762b</t>
  </si>
  <si>
    <t>Class Size Round 2 (80C)</t>
  </si>
  <si>
    <t>https://trello.com/c/5nLO2jKF/515-class-size-round-2-80c</t>
  </si>
  <si>
    <t>544e5a5209e7a40e3bf66070</t>
  </si>
  <si>
    <t>FDENG 101 Using McGraw-Hill Connect LMS (__A)</t>
  </si>
  <si>
    <t>https://trello.com/c/eaAJCGhu/545-fdeng-101-using-mcgraw-hill-connect-lms-a</t>
  </si>
  <si>
    <t>506b0bf614ec628b16d35c7c</t>
  </si>
  <si>
    <t>Graphical Course Syllabi (32A-II)</t>
  </si>
  <si>
    <t>https://trello.com/c/peUinBpR/546-graphical-course-syllabi-32a-ii</t>
  </si>
  <si>
    <t>56ab8cef4fcdcbcc64b7dffb</t>
  </si>
  <si>
    <t>Fix Ticket Analysis (__A-I)</t>
  </si>
  <si>
    <t>https://trello.com/c/7cWhCcwo/550-fix-ticket-analysis-a-i</t>
  </si>
  <si>
    <t>5693d75ec44dd6278350f15d</t>
  </si>
  <si>
    <t>ECON 150 - Multiple Modes of Delivery</t>
  </si>
  <si>
    <t>https://trello.com/c/iAZ1i5hl/571-econ-150-multiple-modes-of-delivery</t>
  </si>
  <si>
    <t>512ce8f0d994fcc3430127d7</t>
  </si>
  <si>
    <t>TAs Round 2</t>
  </si>
  <si>
    <t>https://trello.com/c/3cZIp2Lb/479-tas-round-2</t>
  </si>
  <si>
    <t>548efc960c463cc0a606c514</t>
  </si>
  <si>
    <t>Course Lead Evaluation</t>
  </si>
  <si>
    <t>https://trello.com/c/NG7XDMwP/249-course-lead-evaluation</t>
  </si>
  <si>
    <t>5485df3ab2d90d483f226d71</t>
  </si>
  <si>
    <t>FHGEN Analysis</t>
  </si>
  <si>
    <t>https://trello.com/c/19k3C0fD/248-fhgen-analysis</t>
  </si>
  <si>
    <t>54c012826355bf0b2b296b25</t>
  </si>
  <si>
    <t>Internal Language Training Evaluation</t>
  </si>
  <si>
    <t>https://trello.com/c/VcupatxD/252-internal-language-training-evaluation</t>
  </si>
  <si>
    <t>5373ee7a93bb8a82544f3530</t>
  </si>
  <si>
    <t>Live Course Review Planning</t>
  </si>
  <si>
    <t>https://trello.com/c/gHXQIVC6/187-live-course-review-planning</t>
  </si>
  <si>
    <t>5550dd842ed22f3b423beab9</t>
  </si>
  <si>
    <t>Student Perception of Online Learning Report for PEG</t>
  </si>
  <si>
    <t>https://trello.com/c/OdjlheOk/276-student-perception-of-online-learning-report-for-peg</t>
  </si>
  <si>
    <t>5581a4cdc2cd69d3c4240584</t>
  </si>
  <si>
    <t>Online Teach One Another Activities Report AUG 2015</t>
  </si>
  <si>
    <t>https://trello.com/c/ddmHEzzz/282-online-teach-one-another-activities-report-aug-2015</t>
  </si>
  <si>
    <t>55e4aea263f84c67f71bfd19</t>
  </si>
  <si>
    <t>Online Spiritual Connections Report AUG 2015</t>
  </si>
  <si>
    <t>https://trello.com/c/VFUBbNVh/289-online-spiritual-connections-report-aug-2015</t>
  </si>
  <si>
    <t>55e4ad7aa44f87f882424ac6</t>
  </si>
  <si>
    <t>Certificate Courses:  Brief Course Reports</t>
  </si>
  <si>
    <t>https://trello.com/c/hUf0hvKZ/288-certificate-courses-brief-course-reports</t>
  </si>
  <si>
    <t>538659723fcace911b15147b</t>
  </si>
  <si>
    <t>Block - Semester Comparison Project</t>
  </si>
  <si>
    <t>https://trello.com/c/Nmyyncpy/219-block-semester-comparison-project</t>
  </si>
  <si>
    <t>560b169e9de0659a0f992c9c</t>
  </si>
  <si>
    <t>Residency Impact Evaluation</t>
  </si>
  <si>
    <t>https://trello.com/c/CrK3Vlrv/306-residency-impact-evaluation</t>
  </si>
  <si>
    <t>563d00b4f068521792087d67</t>
  </si>
  <si>
    <t>FDENG 101 Pathway Trends</t>
  </si>
  <si>
    <t>https://trello.com/c/b2agrnBO/316-fdeng-101-pathway-trends</t>
  </si>
  <si>
    <t>55a0330f3d4ea68bbfa67fae</t>
  </si>
  <si>
    <t>Product Development:  Evaluation Project Template and Job Aid Creation</t>
  </si>
  <si>
    <t>https://trello.com/c/M0mgvYxw/287-product-development-evaluation-project-template-and-job-aid-creation</t>
  </si>
  <si>
    <t>560b1664b9eb135272dd92fc</t>
  </si>
  <si>
    <t>Targeted Certificate Course Report - Round 2</t>
  </si>
  <si>
    <t>https://trello.com/c/l19jKuFg/305-targeted-certificate-course-report-round-2</t>
  </si>
  <si>
    <t>552be5899077e0df2523cdfc</t>
  </si>
  <si>
    <t>Equella Task Force</t>
  </si>
  <si>
    <t>https://trello.com/c/ehdohZ37/503-equella-task-force</t>
  </si>
  <si>
    <t>5612df87305e18837340a586</t>
  </si>
  <si>
    <t>Online High-Level Statistics Dashboard Prototype (__B-I)</t>
  </si>
  <si>
    <t>https://trello.com/c/M71LsyUs/516-online-high-level-statistics-dashboard-prototype-b-i</t>
  </si>
  <si>
    <t>535e913161ef7c2c5ef61dca</t>
  </si>
  <si>
    <t>Kaltura Video Process Analysis (__A-I)</t>
  </si>
  <si>
    <t>https://trello.com/c/snod14wX/517-kaltura-video-process-analysis-a-i</t>
  </si>
  <si>
    <t>5453e3516837be0c2d8cad50</t>
  </si>
  <si>
    <t>Demographic Survey - Multiple Modes of Delivery</t>
  </si>
  <si>
    <t>https://trello.com/c/Dt9MJ5tI/518-demographic-survey-multiple-modes-of-delivery</t>
  </si>
  <si>
    <t>53582f16d9f490665e7af3bf</t>
  </si>
  <si>
    <t>Lesson-Level Eval Rnd 4 (74B-I)</t>
  </si>
  <si>
    <t>https://trello.com/c/aHzrVYFA/519-lesson-level-eval-rnd-4-74b-i</t>
  </si>
  <si>
    <t>53cfe82ede17e0d7227b0fb5</t>
  </si>
  <si>
    <t>PSYCH 201 Knowledge Surveys - Multiple Modes of Delivery</t>
  </si>
  <si>
    <t>https://trello.com/c/A2rhVHe1/520-psych-201-knowledge-surveys-multiple-modes-of-delivery</t>
  </si>
  <si>
    <t>54f48e26cf5cc0d8995311a9</t>
  </si>
  <si>
    <t>Lamprecht Space Planning</t>
  </si>
  <si>
    <t>https://trello.com/c/7lyfHaEv/547-lamprecht-space-planning</t>
  </si>
  <si>
    <t>54f48e5621c7735e153ee328</t>
  </si>
  <si>
    <t>D2L &amp; Equella Integration Evaluation</t>
  </si>
  <si>
    <t>https://trello.com/c/93cDZwun/548-d2l-equella-integration-evaluation</t>
  </si>
  <si>
    <t>54b5576771a3e3a0553e140e</t>
  </si>
  <si>
    <t>SMeLT: Designer Feedback (80B-I)</t>
  </si>
  <si>
    <t>https://trello.com/c/WO1Rzwoo/549-smelt-designer-feedback-80b-i</t>
  </si>
  <si>
    <t>5419ac07001460301bbcb635</t>
  </si>
  <si>
    <t>Course Fill Rate Analysis (__A-I)</t>
  </si>
  <si>
    <t>https://trello.com/c/0N3Z7Qqc/565-course-fill-rate-analysis-a-i</t>
  </si>
  <si>
    <t>54ca7e8e2f4757fea7e99257</t>
  </si>
  <si>
    <t>GAP Analysis Survey (__A-I)</t>
  </si>
  <si>
    <t>https://trello.com/c/ZeS4mVw6/566-gap-analysis-survey-a-i</t>
  </si>
  <si>
    <t>54ebaa339f6bf3608650dc46</t>
  </si>
  <si>
    <t>FDREL 121 Time Spent Analysis (__A-I)</t>
  </si>
  <si>
    <t>https://trello.com/c/zmwjv5td/567-fdrel-121-time-spent-analysis-a-i</t>
  </si>
  <si>
    <t>56128f6edf3a42a42eae9972</t>
  </si>
  <si>
    <t>EIL TA Cost Analysis (__A-I)</t>
  </si>
  <si>
    <t>https://trello.com/c/xMYmkoYi/572-eil-ta-cost-analysis-a-i</t>
  </si>
  <si>
    <t>537bd71df190546cc747bb63</t>
  </si>
  <si>
    <t>Deep Dive Discussion Board Analysis</t>
  </si>
  <si>
    <t>https://trello.com/c/PIRQb7Tf/206-deep-dive-discussion-board-analysis</t>
  </si>
  <si>
    <t>537bda9d40a95099c7dd080c</t>
  </si>
  <si>
    <t>Course Quality Dashboards 1.0</t>
  </si>
  <si>
    <t>https://trello.com/c/Jf8pIWLV/212-course-quality-dashboards-10</t>
  </si>
  <si>
    <t>51d342c28af5b4fd1b000fa8</t>
  </si>
  <si>
    <t>Dept. Chair, CL, Dean Survey Report</t>
  </si>
  <si>
    <t>https://trello.com/c/76QGSuD3/107-dept-chair-cl-dean-survey-report</t>
  </si>
  <si>
    <t>52406f9cf4ca4e527b005157</t>
  </si>
  <si>
    <t>Refer qualified students to IT to hire new student survey administration, API's, Excel, XML, qualitative coding</t>
  </si>
  <si>
    <t>https://trello.com/c/3FL7lzs0/179-refer-qualified-students-to-it-to-hire-new-student-survey-administration-apis-excel-xml-qualitative-coding</t>
  </si>
  <si>
    <t>537bd5a9a8d38cd8fadbb106</t>
  </si>
  <si>
    <t>Evaluation Plan Summary Report with links to toolbox of assessment templates, stakeholder requirements, metrics</t>
  </si>
  <si>
    <t>https://trello.com/c/bT0IsU3S/200-evaluation-plan-summary-report-with-links-to-toolbox-of-assessment-templates-stakeholder-requirements-metrics</t>
  </si>
  <si>
    <t>537bd673519c947457e1daf5</t>
  </si>
  <si>
    <t>Evaluation Plan for External and Internal Audiences</t>
  </si>
  <si>
    <t>https://trello.com/c/pBiDIe3D/204-evaluation-plan-for-external-and-internal-audiences</t>
  </si>
  <si>
    <t>5373ef16a044f3332577bc7b</t>
  </si>
  <si>
    <t>Data Barriers Spreadsheet</t>
  </si>
  <si>
    <t>https://trello.com/c/aTalklZx/195-data-barriers-spreadsheet</t>
  </si>
  <si>
    <t>53d028ffda9f0905b5ef3720</t>
  </si>
  <si>
    <t>Evaluation Report - FDREL 121 Scripture Study Goal</t>
  </si>
  <si>
    <t>https://trello.com/c/0elpBEBk/225-evaluation-report-fdrel-121-scripture-study-goal</t>
  </si>
  <si>
    <t>5373ee8203c9fc3153895a53</t>
  </si>
  <si>
    <t>Evaluation Report - FHGEN courses</t>
  </si>
  <si>
    <t>https://trello.com/c/EJZlblXM/188-evaluation-report-fhgen-courses</t>
  </si>
  <si>
    <t>537621e974db86171dd4038d</t>
  </si>
  <si>
    <t>Business Case Study Research for B 300-400 Courses</t>
  </si>
  <si>
    <t>https://trello.com/c/Oi5ZweGU/197-business-case-study-research-for-b-300-400-courses</t>
  </si>
  <si>
    <t>5373eef5cadf5b42259a097c</t>
  </si>
  <si>
    <t>FDREL 333 Instructor and Couple Missionaries Interviews</t>
  </si>
  <si>
    <t>https://trello.com/c/VoO1WnHj/192-fdrel-333-instructor-and-couple-missionaries-interviews</t>
  </si>
  <si>
    <t>537cbd2456ef7e09fb47bc3b</t>
  </si>
  <si>
    <t xml:space="preserve">Evaluation Report - ENG 106L to FDENG 101 </t>
  </si>
  <si>
    <t>https://trello.com/c/dkSsw1r1/213-evaluation-report-eng-106l-to-fdeng-101</t>
  </si>
  <si>
    <t>5373ee885e8854672577227f</t>
  </si>
  <si>
    <t>Develop and maintain Analysis List</t>
  </si>
  <si>
    <t>https://trello.com/c/L4Wc0Uz3/189-develop-and-maintain-analysis-list</t>
  </si>
  <si>
    <t>5373ee72730197861b996c8d</t>
  </si>
  <si>
    <t>Instructor Ranking Method Using Standardized Scores</t>
  </si>
  <si>
    <t>https://trello.com/c/Mi6a1pLX/186-instructor-ranking-method-using-standardized-scores</t>
  </si>
  <si>
    <t>5511d4300fbd9e43bfbc824e</t>
  </si>
  <si>
    <t>Instructor Interview/Evaluation Course Performance Predictibility</t>
  </si>
  <si>
    <t>https://trello.com/c/7rSbb0gI/269-instructor-interview-evaluation-course-performance-predictibility</t>
  </si>
  <si>
    <t>52406f9cf4ca4e527b005159</t>
  </si>
  <si>
    <t>For Instructors: I-Learn assessment item-analysis export across all students into Tabular form</t>
  </si>
  <si>
    <t>https://trello.com/c/CJdk7bjM/181-for-instructors-i-learn-assessment-item-analysis-export-across-all-students-into-tabular-form</t>
  </si>
  <si>
    <t>53b1789d4b20ed26ff032eeb</t>
  </si>
  <si>
    <t>CIT 353 focus group of "Lounge" discussion board</t>
  </si>
  <si>
    <t>https://trello.com/c/Ru5s1teX/224-cit-353-focus-group-of-lounge-discussion-board</t>
  </si>
  <si>
    <t>5656383d3088653767069002</t>
  </si>
  <si>
    <t>Business Case Studies (B 480 &amp; B 483)</t>
  </si>
  <si>
    <t>https://trello.com/c/ywi85AN0/326-business-case-studies-b-480-b-483</t>
  </si>
  <si>
    <t>53763ed69ddfccb7957f6241</t>
  </si>
  <si>
    <t>Virtual Pathway (__A-II)</t>
  </si>
  <si>
    <t>https://trello.com/c/R0NPFLGU/497-virtual-pathway-a-ii</t>
  </si>
  <si>
    <t>530b9ea3e88d3f7e630652f5</t>
  </si>
  <si>
    <t>__B-III I-Learn 3.0 Pilot I Eval &amp; Pilot 2 Prep</t>
  </si>
  <si>
    <t>https://trello.com/c/wn5zowZg/529-b-iii-i-learn-30-pilot-i-eval-pilot-2-prep</t>
  </si>
  <si>
    <t>530ba12da31ba93c2aca1387</t>
  </si>
  <si>
    <t>__B-I AQUOS Rnd 4</t>
  </si>
  <si>
    <t>https://trello.com/c/poFYqYSH/530-b-i-aquos-rnd-4</t>
  </si>
  <si>
    <t>530ba076a6c88f515454874e</t>
  </si>
  <si>
    <t>74B-I Lesson-Level Eval Rnd 3</t>
  </si>
  <si>
    <t>https://trello.com/c/hZTaNUA7/531-74b-i-lesson-level-eval-rnd-3</t>
  </si>
  <si>
    <t>507c7626aa4741a024281232</t>
  </si>
  <si>
    <t>69A-I I-Learn Labs &amp; Other I.T. Projects</t>
  </si>
  <si>
    <t>https://trello.com/c/t3yt9ft4/532-69a-i-i-learn-labs-other-it-projects</t>
  </si>
  <si>
    <t>507851a6c8a7deeb07a82416</t>
  </si>
  <si>
    <t>Equella CMS Testing (85C-III)</t>
  </si>
  <si>
    <t>https://trello.com/c/tFImURCH/533-equella-cms-testing-85c-iii</t>
  </si>
  <si>
    <t>512ce72c329388346d011ff9</t>
  </si>
  <si>
    <t>Equella: Switch CSS (np) (49A-I)</t>
  </si>
  <si>
    <t>https://trello.com/c/fokUyjrK/534-equella-switch-css-np-49a-i</t>
  </si>
  <si>
    <t>507c7615aa4741a024280b32</t>
  </si>
  <si>
    <t>Mobile Devices Testing (27B-I)</t>
  </si>
  <si>
    <t>https://trello.com/c/3zuKxulz/561-mobile-devices-testing-27b-i</t>
  </si>
  <si>
    <t>53582dabba9addb16a609379</t>
  </si>
  <si>
    <t>I-Learn 3.0 Pilot 2 Eval (__B-III)</t>
  </si>
  <si>
    <t>https://trello.com/c/SGry71Mq/562-i-learn-30-pilot-2-eval-b-iii</t>
  </si>
  <si>
    <t>54136be600b66a0ca879d931</t>
  </si>
  <si>
    <t>Matriculated Pathway Student Academic Performance (__A-I)</t>
  </si>
  <si>
    <t>https://trello.com/c/IiEFcAzQ/563-matriculated-pathway-student-academic-performance-a-i</t>
  </si>
  <si>
    <t>53da9e1df67a48edc086d1c2</t>
  </si>
  <si>
    <t>I-Learn 3.0 D2L Implementation (__B-II)</t>
  </si>
  <si>
    <t>https://trello.com/c/nhQln7kd/564-i-learn-30-d2l-implementation-b-ii</t>
  </si>
  <si>
    <t>543da913d34de0d25d11b161</t>
  </si>
  <si>
    <t>SARAS Investigation (__A-I)</t>
  </si>
  <si>
    <t>https://trello.com/c/zRrvU88l/573-saras-investigation-a-i</t>
  </si>
  <si>
    <t>530ba0ece61eb1af03311db9</t>
  </si>
  <si>
    <t>__B-I AQUOS Rnd 3</t>
  </si>
  <si>
    <t>https://trello.com/c/lw8cotSX/524-b-i-aquos-rnd-3</t>
  </si>
  <si>
    <t>530b9e7ea0548e7b1b486207</t>
  </si>
  <si>
    <t>__B-III I-Learn 3.0 RFP, Demo, Pilot Prep</t>
  </si>
  <si>
    <t>https://trello.com/c/PVRd5AS3/525-b-iii-i-learn-30-rfp-demo-pilot-prep</t>
  </si>
  <si>
    <t>51784619ff581ce37f0065ec</t>
  </si>
  <si>
    <t>__B-II Adv Survey Tech (AQUOS) Rnd 2</t>
  </si>
  <si>
    <t>https://trello.com/c/VLJpyrW7/526-b-ii-adv-survey-tech-aquos-rnd-2</t>
  </si>
  <si>
    <t>506b0e1b632aaf556004b6d1</t>
  </si>
  <si>
    <t xml:space="preserve">32A-I Top 10 (Freq) TOA </t>
  </si>
  <si>
    <t>https://trello.com/c/pf8sLYYj/527-32a-i-top-10-freq-toa</t>
  </si>
  <si>
    <t>5178475e41565c804a007072</t>
  </si>
  <si>
    <t>__A-II Degree Prioritization</t>
  </si>
  <si>
    <t>https://trello.com/c/Nc0xatlJ/528-a-ii-degree-prioritization</t>
  </si>
  <si>
    <t>505b9e18853af2c405370719</t>
  </si>
  <si>
    <t>49B-II Reduce recidivism via targeted SMS messaging</t>
  </si>
  <si>
    <t>https://trello.com/c/UnOo4kCc/542-49b-ii-reduce-recidivism-via-targeted-sms-messaging</t>
  </si>
  <si>
    <t>505b9dca853af2c40536ebcb</t>
  </si>
  <si>
    <t>39A-II Instructor bounded choice learning activities</t>
  </si>
  <si>
    <t>https://trello.com/c/VKdyNB3h/543-39a-ii-instructor-bounded-choice-learning-activities</t>
  </si>
  <si>
    <t>511579297a94677b4b000121</t>
  </si>
  <si>
    <t>33B-II Section-Level Class Chat DB</t>
  </si>
  <si>
    <t>https://trello.com/c/dr60ggrx/544-33b-ii-section-level-class-chat-db</t>
  </si>
  <si>
    <t>513dfa46b63e476f6f00002c</t>
  </si>
  <si>
    <t>__B-II Advanced Survey Techniques</t>
  </si>
  <si>
    <t>https://trello.com/c/edSQmx2b/552-b-ii-advanced-survey-techniques</t>
  </si>
  <si>
    <t>508e9e8113af6c2235005351</t>
  </si>
  <si>
    <t>48B-II Map tool in Online Courses</t>
  </si>
  <si>
    <t>https://trello.com/c/FZvAVxjh/553-48b-ii-map-tool-in-online-courses</t>
  </si>
  <si>
    <t>511579314b7885e56f000182</t>
  </si>
  <si>
    <t>80B-II Mid-course Feedback</t>
  </si>
  <si>
    <t>https://trello.com/c/pRkieNpz/554-80b-ii-mid-course-feedback</t>
  </si>
  <si>
    <t>507d767c06c36ac41271efc2</t>
  </si>
  <si>
    <t>74B-II Lesson Level Evaluation</t>
  </si>
  <si>
    <t>https://trello.com/c/w62YCdCB/555-74b-ii-lesson-level-evaluation</t>
  </si>
  <si>
    <t>506b0df4632aaf5560049e50</t>
  </si>
  <si>
    <t>90B-III Learning Activity Categorization</t>
  </si>
  <si>
    <t>https://trello.com/c/p3uqlFeY/556-90b-iii-learning-activity-categorization</t>
  </si>
  <si>
    <t>51e44a9c58259c2126000275</t>
  </si>
  <si>
    <t>74B-II Lesson-Level Eval Rnd 2</t>
  </si>
  <si>
    <t>https://trello.com/c/JAS4v6bP/557-74b-ii-lesson-level-eval-rnd-2</t>
  </si>
  <si>
    <t>506b07e1a8a3cf6d5a7f050f</t>
  </si>
  <si>
    <t>29C-II Comparitive LMS Eval</t>
  </si>
  <si>
    <t>https://trello.com/c/behPZNol/558-29c-ii-comparitive-lms-eval</t>
  </si>
  <si>
    <t>5108139501b7cd4456005857</t>
  </si>
  <si>
    <t>Faculty I-Learn Survey Results</t>
  </si>
  <si>
    <t>https://trello.com/c/L5hcZxtY/521-faculty-i-learn-survey-results</t>
  </si>
  <si>
    <t>5081845f8fb535b8710011da</t>
  </si>
  <si>
    <t>GoToMeeting Testing</t>
  </si>
  <si>
    <t>https://trello.com/c/dUXbomNg/522-gotomeeting-testing</t>
  </si>
  <si>
    <t>50f7041b3ed842152c0091ad</t>
  </si>
  <si>
    <t>I-Learn/BrainHoney LMS Student Focus Group</t>
  </si>
  <si>
    <t>https://trello.com/c/k0Y1b7iO/523-i-learn-brainhoney-lms-student-focus-group</t>
  </si>
  <si>
    <t>505b9ea2853af2c4053743d3</t>
  </si>
  <si>
    <t>31C-III LoudCloud LMS</t>
  </si>
  <si>
    <t>https://trello.com/c/8d2KD4S3/539-31c-iii-loudcloud-lms</t>
  </si>
  <si>
    <t>505b9e91853af2c405373b8d</t>
  </si>
  <si>
    <t>44A-II Google Hangouts, Docs, and Groups</t>
  </si>
  <si>
    <t>https://trello.com/c/Xa9ncewK/540-44a-ii-google-hangouts-docs-and-groups</t>
  </si>
  <si>
    <t>505b9e99853af2c405374231</t>
  </si>
  <si>
    <t>40B-II VoiceThread Discussion Board</t>
  </si>
  <si>
    <t>https://trello.com/c/uFVI8Yei/541-40b-ii-voicethread-discussion-board</t>
  </si>
  <si>
    <t>50c75cd41f00b9c77d023bd4</t>
  </si>
  <si>
    <t>Institute Hybrid</t>
  </si>
  <si>
    <t>https://trello.com/c/HcljbSTl/536-institute-hybrid</t>
  </si>
  <si>
    <t>50c75cf161e550965c01ec9b</t>
  </si>
  <si>
    <t>Instructure Canvas LMS</t>
  </si>
  <si>
    <t>https://trello.com/c/a3YNv5Vd/537-instructure-canvas-lms</t>
  </si>
  <si>
    <t>50c75d0161e550965c01ecb0</t>
  </si>
  <si>
    <t>Online Teaching Assistants</t>
  </si>
  <si>
    <t>https://trello.com/c/bZWIp2cw/535-online-teaching-assistants</t>
  </si>
  <si>
    <t>50ef1f391f1158040e00225a</t>
  </si>
  <si>
    <t>Reusable Learning Objects</t>
  </si>
  <si>
    <t>https://trello.com/c/9Kmo9T8o/538-reusable-learning-objects</t>
  </si>
  <si>
    <t>Research, Evaluation &amp; Development</t>
  </si>
  <si>
    <t>Ideas</t>
  </si>
  <si>
    <t>Concepts</t>
  </si>
  <si>
    <t>Proposals</t>
  </si>
  <si>
    <t>Completed (SP 17)</t>
  </si>
  <si>
    <t>Completed (WI 17)</t>
  </si>
  <si>
    <t>Completed (FA 16)</t>
  </si>
  <si>
    <t>Completed (SP 16)</t>
  </si>
  <si>
    <t>Completed (WI 16)</t>
  </si>
  <si>
    <t>Completed (2015)</t>
  </si>
  <si>
    <t>Completed (2014)</t>
  </si>
  <si>
    <t>Completed (2013)</t>
  </si>
  <si>
    <t>Completed (2012)</t>
  </si>
  <si>
    <t>Completed (Pre-F12)</t>
  </si>
  <si>
    <t>Allison Wrathall</t>
  </si>
  <si>
    <t>Ben Fryar</t>
  </si>
  <si>
    <t>Curtis Henrie | Ben Fryar</t>
  </si>
  <si>
    <t>Daniel Balls | Curtis Henrie</t>
  </si>
  <si>
    <t>Curtis Henrie | Daniel Balls | Ben Fryar</t>
  </si>
  <si>
    <t>Curtis Henrie | Daniel Balls</t>
  </si>
  <si>
    <t>Daniel Balls | Curtis Henrie | Ben Fryar</t>
  </si>
  <si>
    <t>Jacob Adams</t>
  </si>
  <si>
    <t>Joshua Holt | Aaron Ball</t>
  </si>
  <si>
    <t>Joshua Holt</t>
  </si>
  <si>
    <t>Aaron Ball | Joshua Holt</t>
  </si>
  <si>
    <t>Curtis Henrie | Lynne Anderson | Joel Galbraith | Ben Fryar</t>
  </si>
  <si>
    <t>Ben Fryar | Joel Galbraith | Peter Williams</t>
  </si>
  <si>
    <t>Peter Williams</t>
  </si>
  <si>
    <t>Daniel Balls | Peter Williams</t>
  </si>
  <si>
    <t>Curtis Henrie | Ben Fryar | Peter Williams | Christy Owens</t>
  </si>
  <si>
    <t>Curtis Henrie | Peter Williams | Ben Fryar</t>
  </si>
  <si>
    <t>Robert Stewart</t>
  </si>
  <si>
    <t>Steve Stokes</t>
  </si>
  <si>
    <t>Steve Stokes | Joshua Holt</t>
  </si>
  <si>
    <t>Curtis Henrie | Peter Williams | Steve Stokes</t>
  </si>
  <si>
    <t>Daniel Balls | Steven Willis</t>
  </si>
  <si>
    <t>Curtis Henrie | Ben Fryar | Steven Willis</t>
  </si>
  <si>
    <t>58779e2a739eb4e595089e9b</t>
  </si>
  <si>
    <t>Change Workflow Improvements</t>
  </si>
  <si>
    <t>https://trello.com/c/wyRP5K8d/72-change-workflow-improvements</t>
  </si>
  <si>
    <t>58a2382b9fd04209e41ab3eb</t>
  </si>
  <si>
    <t>Change Workflow Improvement 1</t>
  </si>
  <si>
    <t>https://trello.com/c/6G5bZyp0/88-change-workflow-improvement-1</t>
  </si>
  <si>
    <t>58503e85ca1f4af501ad6dff</t>
  </si>
  <si>
    <t>Expanded Course Dashboards</t>
  </si>
  <si>
    <t>https://trello.com/c/dFRmF1iw/69-expanded-course-dashboards</t>
  </si>
  <si>
    <t>573f2d803cf64beef136729e</t>
  </si>
  <si>
    <t>Use of TeamDynamix vs. Access</t>
  </si>
  <si>
    <t>https://trello.com/c/3efJqXEr/52-use-of-teamdynamix-vs-access</t>
  </si>
  <si>
    <t>54f886e8dddc926f97139c94</t>
  </si>
  <si>
    <t>Shorten Student Feedback Loop</t>
  </si>
  <si>
    <t>https://trello.com/c/XzlvEjHY/14-shorten-student-feedback-loop</t>
  </si>
  <si>
    <t>551ea1359c61f02c6da696aa</t>
  </si>
  <si>
    <t>Course Improvement Information Share</t>
  </si>
  <si>
    <t>https://trello.com/c/ru1apWsM/25-course-improvement-information-share</t>
  </si>
  <si>
    <t>5527e99efce434729deb4ed5</t>
  </si>
  <si>
    <t>Help! My page won't load!</t>
  </si>
  <si>
    <t>https://trello.com/c/e1IXMvHn/20-help-my-page-wont-load</t>
  </si>
  <si>
    <t>5577287237b268cf964c003a</t>
  </si>
  <si>
    <t>Develop Network of Contractor Students</t>
  </si>
  <si>
    <t>https://trello.com/c/aYpPT0A7/31-develop-network-of-contractor-students</t>
  </si>
  <si>
    <t>55c11bde4c56229f17be75ef</t>
  </si>
  <si>
    <t>Address problem with YouTube videos and Church Building blocking</t>
  </si>
  <si>
    <t>https://trello.com/c/4Xp4zxRy/34-address-problem-with-youtube-videos-and-church-building-blocking</t>
  </si>
  <si>
    <t>580a65ca4003ac967b230f31</t>
  </si>
  <si>
    <t>Data Dump into TD</t>
  </si>
  <si>
    <t>https://trello.com/c/x2UuITgd/62-data-dump-into-td</t>
  </si>
  <si>
    <t>56955aa89945d140d405abdb</t>
  </si>
  <si>
    <t>Transcript MOU</t>
  </si>
  <si>
    <t>https://trello.com/c/H4AjxqFq/46-transcript-mou</t>
  </si>
  <si>
    <t>589cb0bd41a42418c169dad5</t>
  </si>
  <si>
    <t>Video Transcripts</t>
  </si>
  <si>
    <t>https://trello.com/c/mp3bEcgg/85-video-transcripts</t>
  </si>
  <si>
    <t>5787e7f3d892d61c355623ae</t>
  </si>
  <si>
    <t>Explore Change Workflow migration to TD</t>
  </si>
  <si>
    <t>https://trello.com/c/1Ly02htK/60-explore-change-workflow-migration-to-td</t>
  </si>
  <si>
    <t>556894c89b590ed265718b16</t>
  </si>
  <si>
    <t>Live Course Reviews</t>
  </si>
  <si>
    <t>https://trello.com/c/mQV5hthD/28-live-course-reviews</t>
  </si>
  <si>
    <t>579f5ffeb3a1f00cce8fbf38</t>
  </si>
  <si>
    <t>https://trello.com/c/6vo5lBWk/97-watch-list-product-development</t>
  </si>
  <si>
    <t>54d23f3e649c79ab537374b9</t>
  </si>
  <si>
    <t>Course Lead Confirmation</t>
  </si>
  <si>
    <t>https://trello.com/c/OQ3T5rEj/5-course-lead-confirmation</t>
  </si>
  <si>
    <t>55281134e2ce4c22bb356149</t>
  </si>
  <si>
    <t>Professional Development</t>
  </si>
  <si>
    <t>https://trello.com/c/0AQuV6lc/8-professional-development</t>
  </si>
  <si>
    <t>54b96fda712656c64bbb15d7</t>
  </si>
  <si>
    <t>Check into courses with lead editing rights</t>
  </si>
  <si>
    <t>https://trello.com/c/pqKToE91/19-check-into-courses-with-lead-editing-rights</t>
  </si>
  <si>
    <t>5547a3817b1e41a88cd1ee1e</t>
  </si>
  <si>
    <t>Granting Access to Courses to Outside Requestors</t>
  </si>
  <si>
    <t>https://trello.com/c/5dA6uUwg/13-granting-access-to-courses-to-outside-requestors</t>
  </si>
  <si>
    <t>554b9c487ea97b5c72904fe4</t>
  </si>
  <si>
    <t>Cost of Ownership Report</t>
  </si>
  <si>
    <t>https://trello.com/c/oqFy8X1d/1-cost-of-ownership-report</t>
  </si>
  <si>
    <t>55118eb4a57ea7223890548a</t>
  </si>
  <si>
    <t>Google HOA Instruction alignment</t>
  </si>
  <si>
    <t>https://trello.com/c/QY2wKsed/12-google-hoa-instruction-alignment</t>
  </si>
  <si>
    <t>57d6f2230a1bbcad096b796d</t>
  </si>
  <si>
    <t>Course Council Support Structure</t>
  </si>
  <si>
    <t>https://trello.com/c/uLeUy61n/61-course-council-support-structure</t>
  </si>
  <si>
    <t>55c21a8a16823826f24709c6</t>
  </si>
  <si>
    <t>New Development Contract Process</t>
  </si>
  <si>
    <t>https://trello.com/c/ouiP9icL/35-new-development-contract-process</t>
  </si>
  <si>
    <t>Trello Card Template</t>
  </si>
  <si>
    <t>589ca3e4ce1c44eecbd550ab</t>
  </si>
  <si>
    <t>Comprehensive CL Communication</t>
  </si>
  <si>
    <t>https://trello.com/c/q1gZNsFA/78-comprehensive-cl-communication</t>
  </si>
  <si>
    <t>589ca3f13b19487464c89c54</t>
  </si>
  <si>
    <t>Online Audience Handbook Item</t>
  </si>
  <si>
    <t>https://trello.com/c/kwDtR7Oy/79-online-audience-handbook-item</t>
  </si>
  <si>
    <t>54f8a0663d03d5bfc7195ef5</t>
  </si>
  <si>
    <t>Cross Sharing of best practices</t>
  </si>
  <si>
    <t>https://trello.com/c/UTWmogIp/3-cross-sharing-of-best-practices</t>
  </si>
  <si>
    <t>555b822bba150af62336c8ff</t>
  </si>
  <si>
    <t>Suite of Reports</t>
  </si>
  <si>
    <t>https://trello.com/c/dNF5h3hy/26-suite-of-reports</t>
  </si>
  <si>
    <t>58b06a5045744cc39fdcb5c2</t>
  </si>
  <si>
    <t>Attendance at Campus Department meetings</t>
  </si>
  <si>
    <t>https://trello.com/c/6xBPi8kF/89-attendance-at-campus-department-meetings</t>
  </si>
  <si>
    <t>58b07917beb74da8883ef086</t>
  </si>
  <si>
    <t>Textbook Update Process</t>
  </si>
  <si>
    <t>https://trello.com/c/pHhHwXfX/90-textbook-update-process</t>
  </si>
  <si>
    <t>580a66c09de4e8384ff961af</t>
  </si>
  <si>
    <t>Study of Improvement Projects</t>
  </si>
  <si>
    <t>https://trello.com/c/9JlqDUfQ/63-study-of-improvement-projects</t>
  </si>
  <si>
    <t>555b52a9fea82e6939a77abf</t>
  </si>
  <si>
    <t>https://trello.com/c/KpAQyjim/15-trello-card-template</t>
  </si>
  <si>
    <t>588f59f35d73ce6978f6f5a4</t>
  </si>
  <si>
    <t>Reference Course Editing Access Policy</t>
  </si>
  <si>
    <t>https://trello.com/c/sJBKutoO/73-reference-course-editing-access-policy</t>
  </si>
  <si>
    <t>596fc536ef606d9833be4189</t>
  </si>
  <si>
    <t>Create Training on Brainstorming</t>
  </si>
  <si>
    <t>https://trello.com/c/s7X4AMU9/100-create-training-on-brainstorming</t>
  </si>
  <si>
    <t>5876950f4063c5645aa05c1d</t>
  </si>
  <si>
    <t>New Course Offering Flow</t>
  </si>
  <si>
    <t>https://trello.com/c/HCdRfm4q/71-new-course-offering-flow</t>
  </si>
  <si>
    <t>589ca43ea04f991746bd1771</t>
  </si>
  <si>
    <t>CC Touchpoint Audit</t>
  </si>
  <si>
    <t>https://trello.com/c/JY2C2XM8/82-cc-touchpoint-audit</t>
  </si>
  <si>
    <t>59710fe2a831291624cf9468</t>
  </si>
  <si>
    <t>Core Processes Framework</t>
  </si>
  <si>
    <t>https://trello.com/c/6sENJNER/101-core-processes-framework</t>
  </si>
  <si>
    <t>596e47839f5fadee2d696f08</t>
  </si>
  <si>
    <t>ECON 278 Investigation</t>
  </si>
  <si>
    <t>https://trello.com/c/MDm9EBst/99-econ-278-investigation</t>
  </si>
  <si>
    <t>596d385c76f1f09faf5e4a87</t>
  </si>
  <si>
    <t>Course Council Site update.</t>
  </si>
  <si>
    <t>https://trello.com/c/CKbXs4Kx/98-course-council-site-update</t>
  </si>
  <si>
    <t>595ea10fc2eb3c621e2920d9</t>
  </si>
  <si>
    <t>Course Lead Training Regimen</t>
  </si>
  <si>
    <t>https://trello.com/c/QvJylsWq/96-course-lead-training-regimen</t>
  </si>
  <si>
    <t>5786b8692bb7216fd2b8a0cb</t>
  </si>
  <si>
    <t>Targeted Training Materials</t>
  </si>
  <si>
    <t>https://trello.com/c/p6aTOg1h/59-targeted-training-materials</t>
  </si>
  <si>
    <t>589ca3be89b36ae485290b0a</t>
  </si>
  <si>
    <t>https://trello.com/c/HVWt4u2W/74-knowledgebase</t>
  </si>
  <si>
    <t>589ca3f6e2ad2f0c4f382628</t>
  </si>
  <si>
    <t>Finalize CC Website</t>
  </si>
  <si>
    <t>https://trello.com/c/oHiMN57R/80-finalize-cc-website</t>
  </si>
  <si>
    <t>58dd7dd1d4037329aaffd9c1</t>
  </si>
  <si>
    <t>Online Handbook Management</t>
  </si>
  <si>
    <t>https://trello.com/c/G34BS3gb/93-online-handbook-management</t>
  </si>
  <si>
    <t>589ca3d153f3f87e7c9187ae</t>
  </si>
  <si>
    <t>CORE Hub</t>
  </si>
  <si>
    <t>https://trello.com/c/4GhwaTY7/77-core-hub</t>
  </si>
  <si>
    <t>589ca3c360042d4b4f783516</t>
  </si>
  <si>
    <t>OLT Conference</t>
  </si>
  <si>
    <t>https://trello.com/c/4vLqfJNr/75-olt-conference</t>
  </si>
  <si>
    <t>54f4913f6890d43069d3534d</t>
  </si>
  <si>
    <t>Transcripts in Online Courses</t>
  </si>
  <si>
    <t>https://trello.com/c/OV5zP71E/21-transcripts-in-online-courses</t>
  </si>
  <si>
    <t>5916395d84de0fc6f8299aae</t>
  </si>
  <si>
    <t>MOU</t>
  </si>
  <si>
    <t>https://trello.com/c/ozXOWmmP/94-mou</t>
  </si>
  <si>
    <t>55dcc4c2fd3d65ecdbc4a5db</t>
  </si>
  <si>
    <t>JIT Course Lead Training</t>
  </si>
  <si>
    <t>https://trello.com/c/GtczAJIK/39-jit-course-lead-training</t>
  </si>
  <si>
    <t>5734f5e53c2662e791c74d36</t>
  </si>
  <si>
    <t>Course Lead Newsletter</t>
  </si>
  <si>
    <t>https://trello.com/c/WTo4GUIG/49-course-lead-newsletter</t>
  </si>
  <si>
    <t>5822414efe3322606cd3d374</t>
  </si>
  <si>
    <t>HAT Committee</t>
  </si>
  <si>
    <t>https://trello.com/c/XqSyy1vt/65-hat-committee</t>
  </si>
  <si>
    <t>58540b641388534ba81bf167</t>
  </si>
  <si>
    <t>Support CCDs</t>
  </si>
  <si>
    <t>https://trello.com/c/xI53wrYB/70-support-ccds</t>
  </si>
  <si>
    <t>58dc1decab6dba1478c7073c</t>
  </si>
  <si>
    <t>Spring 2017 Newsletter 1</t>
  </si>
  <si>
    <t>https://trello.com/c/pb6jEbA7/92-spring-2017-newsletter-1</t>
  </si>
  <si>
    <t>583d9f9d1a9f7a40804b3303</t>
  </si>
  <si>
    <t>Course Council Health</t>
  </si>
  <si>
    <t>https://trello.com/c/axN4Wagv/68-course-council-health</t>
  </si>
  <si>
    <t>589ca3ff80a86c094821be09</t>
  </si>
  <si>
    <t>Usability: Fix form &amp; Maint. Dashboard</t>
  </si>
  <si>
    <t>https://trello.com/c/D0Xv6c8o/81-usability-fix-form-maint-dashboard</t>
  </si>
  <si>
    <t>589cb180b84af4cb6218bec7</t>
  </si>
  <si>
    <t>Newsletter part 2</t>
  </si>
  <si>
    <t>https://trello.com/c/1NzB84Dr/86-newsletter-part-2</t>
  </si>
  <si>
    <t>58b46d18287f603a0f578c64</t>
  </si>
  <si>
    <t>Course Lead Load Handbook Item</t>
  </si>
  <si>
    <t>https://trello.com/c/5bkKNlTk/91-course-lead-load-handbook-item</t>
  </si>
  <si>
    <t>55c23d562f317f3b53aa64fb</t>
  </si>
  <si>
    <t>Online Instructor EOC Survey</t>
  </si>
  <si>
    <t>https://trello.com/c/8M1fyJrP/36-online-instructor-eoc-survey</t>
  </si>
  <si>
    <t>572cff72f1f6124e1475e164</t>
  </si>
  <si>
    <t>Winter 2017 Project Hours Allocation</t>
  </si>
  <si>
    <t>https://trello.com/c/lIlV1XCM/48-winter-2017-project-hours-allocation</t>
  </si>
  <si>
    <t>576416669e34d6484168d0f5</t>
  </si>
  <si>
    <t>CS 364 &amp; 432 Plan</t>
  </si>
  <si>
    <t>https://trello.com/c/yVKul0lO/57-cs-364-432-plan</t>
  </si>
  <si>
    <t>573f6f5e034ff42103b46d28</t>
  </si>
  <si>
    <t>CIT 0-Version Coordination</t>
  </si>
  <si>
    <t>https://trello.com/c/js4h6BT7/53-cit-0-version-coordination</t>
  </si>
  <si>
    <t>573a19e32350057e4e32a5b4</t>
  </si>
  <si>
    <t>OLT Conference Planning</t>
  </si>
  <si>
    <t>https://trello.com/c/SR6hDUco/51-olt-conference-planning</t>
  </si>
  <si>
    <t>572cfd628bf132cf1dfac689</t>
  </si>
  <si>
    <t>Winter 2016 Mop-Up</t>
  </si>
  <si>
    <t>https://trello.com/c/kLs19bG6/47-winter-2016-mop-up</t>
  </si>
  <si>
    <t>57470fe766ec98ff0879f379</t>
  </si>
  <si>
    <t>BIO 381 Improvement Plan</t>
  </si>
  <si>
    <t>https://trello.com/c/wT13nyDR/54-bio-381-improvement-plan</t>
  </si>
  <si>
    <t>56379149470fb750ecf5ef19</t>
  </si>
  <si>
    <t>Syllabus Project for Bookstore</t>
  </si>
  <si>
    <t>https://trello.com/c/dj3Jw7k0/42-syllabus-project-for-bookstore</t>
  </si>
  <si>
    <t>Planning and Coordination</t>
  </si>
  <si>
    <t>Not pursuing/Paused</t>
  </si>
  <si>
    <t>Approved</t>
  </si>
  <si>
    <t>In-Process</t>
  </si>
  <si>
    <t>On-going</t>
  </si>
  <si>
    <t>Completed Spring 2017</t>
  </si>
  <si>
    <t>Completed Spring 2016</t>
  </si>
  <si>
    <t>Ben Fryar | Chase Willden | Brian Schow</t>
  </si>
  <si>
    <t>Emily Hermann</t>
  </si>
  <si>
    <t>Steven Willis</t>
  </si>
  <si>
    <t>Steven Willis | Chase Willden</t>
  </si>
  <si>
    <t>Steven Willis | Christy Owens | Ben Fryar | Daniel Balls</t>
  </si>
  <si>
    <t>Emily Hermann | Steven Willis</t>
  </si>
  <si>
    <t>Curtis Henrie | Ben Fryar | Steven Willis | Daniel Balls</t>
  </si>
  <si>
    <t>Steven Willis | Emily Hermann</t>
  </si>
  <si>
    <t>Steven Willis | Emily Hermann | Curtis Henrie | Daniel Balls</t>
  </si>
  <si>
    <t>Steven Willis | Curtis Henrie</t>
  </si>
  <si>
    <t>Steven Willis | Daniel Balls</t>
  </si>
  <si>
    <t>Steven Willis | Brian Schow</t>
  </si>
  <si>
    <t>Boards to Check:</t>
  </si>
  <si>
    <t>(feature not implemented yet)</t>
  </si>
  <si>
    <t>555b524d1897122c44170b87</t>
  </si>
  <si>
    <t>https://trello.com/c/hxN27sk6/10-trello-card-template</t>
  </si>
  <si>
    <t>597b865ad92362c8c2b5daa1</t>
  </si>
  <si>
    <t>Testing New Card II</t>
  </si>
  <si>
    <t>https://trello.com/c/HF6nPUlx/102-testing-new-card-ii</t>
  </si>
  <si>
    <t>597f6990ad38ca026f393177</t>
  </si>
  <si>
    <t>Instructor Engagement</t>
  </si>
  <si>
    <t>https://trello.com/c/Nqn3TsMI/598-instructor-engagement</t>
  </si>
  <si>
    <t>Split TGL into Mentor and Evaluation</t>
  </si>
  <si>
    <t>https://trello.com/c/fyrbXXYC/583-split-tgl-into-mentor-and-evaluation</t>
  </si>
  <si>
    <t>Student Personality Types</t>
  </si>
  <si>
    <t>https://trello.com/c/1BgVcLqf/509-student-personality-types</t>
  </si>
  <si>
    <t>FDREL 121/Ben's Dissertation TEST</t>
  </si>
  <si>
    <t>https://trello.com/c/arkFoh7z/258-fdrel-121-bens-dissertation-test</t>
  </si>
  <si>
    <t>597fa2f48cba51da857b5d1e</t>
  </si>
  <si>
    <t>New Card TEST</t>
  </si>
  <si>
    <t>https://trello.com/c/MK9GvC24/599-new-card-test</t>
  </si>
  <si>
    <t>59808d8c3074b59551ba70f8</t>
  </si>
  <si>
    <t>Update/migrate textbook update process</t>
  </si>
  <si>
    <t>https://trello.com/c/CdXQzmAs/104-update-migrate-textbook-update-process</t>
  </si>
  <si>
    <t>59808d8ccf3d6c7e13e198c9</t>
  </si>
  <si>
    <t>https://trello.com/c/eoHcn73w/103-update-migrate-textbook-update-process</t>
  </si>
  <si>
    <t>5980a023b5c733b1a22ee258</t>
  </si>
  <si>
    <t>Study of Sub - 4 Courses</t>
  </si>
  <si>
    <t>https://trello.com/c/YvfNnZs8/603-study-of-sub-4-courses</t>
  </si>
  <si>
    <t>5980fcfab0d756a72295f419</t>
  </si>
  <si>
    <t>Diagnostics Assessment Proof of Concept</t>
  </si>
  <si>
    <t>https://trello.com/c/D8j3kC3q/604-diagnostics-assessment-proof-of-concept</t>
  </si>
  <si>
    <t>Instructor Pre-Hiring and Performance Correlation</t>
  </si>
  <si>
    <t>https://trello.com/c/AVOalSuP/278-instructor-pre-hiring-and-performance-correlation</t>
  </si>
  <si>
    <t>59934c3363fa40332e50dafc</t>
  </si>
  <si>
    <t>Clarity of Instructions</t>
  </si>
  <si>
    <t>https://trello.com/c/AEUJe2vi/610-clarity-of-instructions</t>
  </si>
  <si>
    <t>59948b7a2a73dddd77e6d2a0</t>
  </si>
  <si>
    <t>Instructor Notes</t>
  </si>
  <si>
    <t>https://trello.com/c/5xAnbIma/611-instructor-notes</t>
  </si>
  <si>
    <t>5988e9ec3d26c05950c6ef1e</t>
  </si>
  <si>
    <t>Instructor Candidate Screening Tool</t>
  </si>
  <si>
    <t>https://trello.com/c/geg9XnWD/607-instructor-candidate-screening-tool</t>
  </si>
  <si>
    <t>5988a4977e50161c6304bc66</t>
  </si>
  <si>
    <t>Peer Evaluation of Group Work Rubric</t>
  </si>
  <si>
    <t>https://trello.com/c/XdfnfXtX/606-peer-evaluation-of-group-work-rubric</t>
  </si>
  <si>
    <t>Redevelopment and Improvement Project Analysis</t>
  </si>
  <si>
    <t>https://trello.com/c/wXv61poI/353-redevelopment-and-improvement-project-analysis</t>
  </si>
  <si>
    <t>Learning Model Measurement</t>
  </si>
  <si>
    <t>https://trello.com/c/YavEHr1V/577-learning-model-measurement</t>
  </si>
  <si>
    <t>5605b834a3ae0645a528dfc6</t>
  </si>
  <si>
    <t>Discussion Board Rubric Development</t>
  </si>
  <si>
    <t>https://trello.com/c/38vk04bn/301-discussion-board-rubric-development</t>
  </si>
  <si>
    <t>598c6f6d7bc7b673f50c3ffe</t>
  </si>
  <si>
    <t>Learning Model Research Agenda Development</t>
  </si>
  <si>
    <t>https://trello.com/c/9Aw2eqVO/608-learning-model-research-agenda-development</t>
  </si>
  <si>
    <t>PathwayConnect Curriculum Evaluation</t>
  </si>
  <si>
    <t>https://trello.com/c/0r2y4TpY/594-pathwayconnect-curriculum-evaluation</t>
  </si>
  <si>
    <t>5984b42895973c2897b9d34b</t>
  </si>
  <si>
    <t>Comments Analysis - Spring 2016</t>
  </si>
  <si>
    <t>https://trello.com/c/0dq1miRj/605-comments-analysis-spring-2016</t>
  </si>
  <si>
    <t>Completed (SS 2017)</t>
  </si>
  <si>
    <t>Completed (SS 16)</t>
  </si>
  <si>
    <t>Allison Wrathall | Daniel Balls | Ben Fryar</t>
  </si>
  <si>
    <t>5995cca87f0ab494d450088a</t>
  </si>
  <si>
    <t>Identify List of Core Processes</t>
  </si>
  <si>
    <t>https://trello.com/c/Um0d0s2z/108-identify-list-of-core-processes</t>
  </si>
  <si>
    <t>598b819c80906d380b654d0b</t>
  </si>
  <si>
    <t>Develop Course Lead Visit schedule</t>
  </si>
  <si>
    <t>https://trello.com/c/DCT4j704/107-develop-course-lead-visit-schedule</t>
  </si>
  <si>
    <t>598b7debeb046bffdf9f4dcf</t>
  </si>
  <si>
    <t>Update/Migrate Development Contract Process</t>
  </si>
  <si>
    <t>https://trello.com/c/6b75X00U/106-update-migrate-development-contract-process</t>
  </si>
  <si>
    <t>598b7d39158466311e81e614</t>
  </si>
  <si>
    <t>Update/migrate ERR Process</t>
  </si>
  <si>
    <t>https://trello.com/c/IIyaeXY5/105-update-migrate-err-process</t>
  </si>
  <si>
    <t>58ebab2f8f266b025b95ea1b</t>
  </si>
  <si>
    <t>Mentoring Technology Solution</t>
  </si>
  <si>
    <t>58dbcc25a2120efe7f02913d</t>
  </si>
  <si>
    <t>Student Mentoring Solution</t>
  </si>
  <si>
    <t>https://trello.com/c/UovAbDqb/559-student-mentoring-solution</t>
  </si>
  <si>
    <t>58ebab3bd3c69cbae2317824</t>
  </si>
  <si>
    <t>Classroom Collaboration Software</t>
  </si>
  <si>
    <t>https://trello.com/c/FQlTUItl/570-classroom-collaboration-software</t>
  </si>
  <si>
    <t>58dbcc9b7d5221cb5a5eab78</t>
  </si>
  <si>
    <t>Synchronous Collaboration Tools Solution</t>
  </si>
  <si>
    <t>https://trello.com/c/VQO8sW4U/560-synchronous-collaboration-tools-solution</t>
  </si>
  <si>
    <t>588bded672bda0848cb00155</t>
  </si>
  <si>
    <t>Student Feedback Project</t>
  </si>
  <si>
    <t>https://trello.com/c/XlirCvyM/402-student-feedback-project</t>
  </si>
  <si>
    <t>5776dd4365a8768ce3fa6c7f</t>
  </si>
  <si>
    <t>Pathway Connect Student Data Collection</t>
  </si>
  <si>
    <t>https://trello.com/c/G4ititkg/365-pathway-connect-student-data-collection</t>
  </si>
  <si>
    <t>57be0e04737771a153718d34</t>
  </si>
  <si>
    <t>Identify Data Needs in Online Learning (Roadmap Development) SMALL</t>
  </si>
  <si>
    <t>https://trello.com/c/7FznpolD/375-identify-data-needs-in-online-learning-roadmap-development-small</t>
  </si>
  <si>
    <t>518ac42787092e331e0011bc</t>
  </si>
  <si>
    <t>d</t>
  </si>
  <si>
    <t>https://trello.com/c/SwmT07Nd/94-d</t>
  </si>
  <si>
    <t>51d34ef6105340aa2b000f11</t>
  </si>
  <si>
    <t>Nate Routson needs to have Report Builder Access</t>
  </si>
  <si>
    <t>https://trello.com/c/pHjWunlN/108-nate-routson-needs-to-have-report-builder-access</t>
  </si>
  <si>
    <t>518ac415cac40c42310010eb</t>
  </si>
  <si>
    <t>ask Aaron to be added as a report builder</t>
  </si>
  <si>
    <t>https://trello.com/c/axZsMWzS/93-ask-aaron-to-be-added-as-a-report-builder</t>
  </si>
  <si>
    <t>521e5e7f5f3ed8f642000546</t>
  </si>
  <si>
    <t>Team Dynamix</t>
  </si>
  <si>
    <t>https://trello.com/c/9mlNWfGZ/126-team-dynamix</t>
  </si>
  <si>
    <t>5175650a36110f7f32008513</t>
  </si>
  <si>
    <t>SharePoint test as a platform for evaluation</t>
  </si>
  <si>
    <t>https://trello.com/c/RyywNxf0/86-sharepoint-test-as-a-platform-for-evaluation</t>
  </si>
  <si>
    <t>57488ffb610e848632bef047</t>
  </si>
  <si>
    <t>Mid-Course Evaluation DW Report Project</t>
  </si>
  <si>
    <t>https://trello.com/c/imH4ty85/363-mid-course-evaluation-dw-report-project</t>
  </si>
  <si>
    <t>56d4946cde83fb3fd00178a8</t>
  </si>
  <si>
    <t>Product Development: Online Information, Research and Assessment Dashboard</t>
  </si>
  <si>
    <t>https://trello.com/c/UfNWSxGo/350-product-development-online-information-research-and-assessment-dashboard</t>
  </si>
  <si>
    <t>56955e8a2b46614a2e1df000</t>
  </si>
  <si>
    <t>Reporting Outcome Achievement</t>
  </si>
  <si>
    <t>https://trello.com/c/OOiODV1u/339-reporting-outcome-achievement</t>
  </si>
  <si>
    <t>565f1b5ea0340604602872c3</t>
  </si>
  <si>
    <t>Lesson Level Evaluation Service</t>
  </si>
  <si>
    <t>https://trello.com/c/Bfu3YX7S/329-lesson-level-evaluation-service</t>
  </si>
  <si>
    <t>56e06a06b0f5055fb6c086d9</t>
  </si>
  <si>
    <t>505b9c6c5ec4d4e4584bad4e</t>
  </si>
  <si>
    <t>Course Council Dashboard/Reports</t>
  </si>
  <si>
    <t>https://trello.com/c/lTbnkcP2/480-course-council-dashboard-reports</t>
  </si>
  <si>
    <t>583cc6e1423d49df86fba49a</t>
  </si>
  <si>
    <t>Personalities and their Preferences to Synchronous and/or Asynchronous Learning</t>
  </si>
  <si>
    <t>https://trello.com/c/2bsfPE7Q/483-personalities-and-their-preferences-to-synchronous-and-or-asynchronous-learning</t>
  </si>
  <si>
    <t>52406f4f6cd3f92b77004a2a</t>
  </si>
  <si>
    <t>Add cost/course calculator from Ian L. to Melanie's dashboard CBA and CQA correlate to course quality indicators and outcomes</t>
  </si>
  <si>
    <t>https://trello.com/c/QZW4dwxd/160-add-cost-course-calculator-from-ian-l-to-melanies-dashboard-cba-and-cqa-correlate-to-course-quality-indicators-and-outcomes</t>
  </si>
  <si>
    <t>52406f4f6cd3f92b77004a31</t>
  </si>
  <si>
    <t>English proficiency through ESL Academic Start / at graduation</t>
  </si>
  <si>
    <t>https://trello.com/c/yER03nkK/173-english-proficiency-through-esl-academic-start-at-graduation</t>
  </si>
  <si>
    <t>52406f4f6cd3f92b77004a35</t>
  </si>
  <si>
    <t>Data Mining Test with Roy for Qual and Quant Data Test Access and Calculated Column for Data Sources Automation</t>
  </si>
  <si>
    <t>https://trello.com/c/zwYB1cEh/174-data-mining-test-with-roy-for-qual-and-quant-data-test-access-and-calculated-column-for-data-sources-automation</t>
  </si>
  <si>
    <t>5373ee5d309c864553d25163</t>
  </si>
  <si>
    <t>FDREL 121 Study</t>
  </si>
  <si>
    <t>https://trello.com/c/IcZSlfLu/184-fdrel-121-study</t>
  </si>
  <si>
    <t>54cfc03dd0fc3f357ae4a93d</t>
  </si>
  <si>
    <t>Small Projects: Daniel</t>
  </si>
  <si>
    <t>https://trello.com/c/N6vipFjt/256-small-projects-daniel</t>
  </si>
  <si>
    <t>545a9763db9761e6c259b16e</t>
  </si>
  <si>
    <t>B 341 Enrollment Cap Analysis</t>
  </si>
  <si>
    <t>https://trello.com/c/s5fRrPdo/242-b-341-enrollment-cap-analysis</t>
  </si>
  <si>
    <t>54ab1932c95ef36c85c7a017</t>
  </si>
  <si>
    <t>Online Course Reviews</t>
  </si>
  <si>
    <t>https://trello.com/c/a3dkqiCC/261-online-course-reviews</t>
  </si>
  <si>
    <t>55f70553df36276fb75baaae</t>
  </si>
  <si>
    <t>Small Projects: Curtis</t>
  </si>
  <si>
    <t>https://trello.com/c/50UAjZjW/295-small-projects-curtis</t>
  </si>
  <si>
    <t>537d242659395fd85ab6b24a</t>
  </si>
  <si>
    <t>523c5f39a9a1217b4c002761</t>
  </si>
  <si>
    <t>Maintain the Watch List</t>
  </si>
  <si>
    <t>https://trello.com/c/JWgHGVD7/214-maintain-the-watch-list</t>
  </si>
  <si>
    <t>53a8471e29abc0630ab51e45</t>
  </si>
  <si>
    <t>Week 1-12: Analysis List Ongoing Updates</t>
  </si>
  <si>
    <t>https://trello.com/c/oCZ8NWOn/223-week-1-12-analysis-list-ongoing-updates</t>
  </si>
  <si>
    <t>523c5f3aa9a1217b4c002774</t>
  </si>
  <si>
    <t>Weeks 1-12: Students Manage/ Administer Qualtrics module level questions</t>
  </si>
  <si>
    <t>https://trello.com/c/UDtgudFN/154-weeks-1-12-students-manage-administer-qualtrics-module-level-questions</t>
  </si>
  <si>
    <t>523c5f3aa9a1217b4c002776</t>
  </si>
  <si>
    <t>Week 1: Day 7 Online Learning Metrics Update</t>
  </si>
  <si>
    <t>https://trello.com/c/KNl9bLJs/156-week-1-day-7-online-learning-metrics-update</t>
  </si>
  <si>
    <t>523c5f3aa9a1217b4c002769</t>
  </si>
  <si>
    <t>Annual Week 3: CL, CD, and Dept. Chair Surveys</t>
  </si>
  <si>
    <t>https://trello.com/c/tyGwEjXL/138-annual-week-3-cl-cd-and-dept-chair-surveys</t>
  </si>
  <si>
    <t>523c5f3aa9a1217b4c002765</t>
  </si>
  <si>
    <t xml:space="preserve">Week 3: Report out to CCs Student Observation Data </t>
  </si>
  <si>
    <t>https://trello.com/c/1CBDIUGl/141-week-3-report-out-to-ccs-student-observation-data</t>
  </si>
  <si>
    <t>523c5f3aa9a1217b4c002773</t>
  </si>
  <si>
    <t>Week 4: Instructor Retention Report from Heather Hall</t>
  </si>
  <si>
    <t>https://trello.com/c/8XKOkxgW/153-week-4-instructor-retention-report-from-heather-hall</t>
  </si>
  <si>
    <t>523c5f3aa9a1217b4c00276f</t>
  </si>
  <si>
    <t>Week 4-6: Learning Gains Metric and Report</t>
  </si>
  <si>
    <t>https://trello.com/c/LpObTxKD/149-week-4-6-learning-gains-metric-and-report</t>
  </si>
  <si>
    <t>523c5f3aa9a1217b4c002763</t>
  </si>
  <si>
    <t>End of Each Month Request Tutoring Center, Audit Data, Team Dynamix, and OSC Data Pull by Course</t>
  </si>
  <si>
    <t>https://trello.com/c/PClajGXX/144-end-of-each-month-request-tutoring-center-audit-data-team-dynamix-and-osc-data-pull-by-course</t>
  </si>
  <si>
    <t>523c5f3aa9a1217b4c00276c</t>
  </si>
  <si>
    <t>Week 5-6: Mid-term Qualtrics Survey Administration and Dashboarding</t>
  </si>
  <si>
    <t>https://trello.com/c/DMwpA4gU/146-week-5-6-mid-term-qualtrics-survey-administration-and-dashboarding</t>
  </si>
  <si>
    <t>523c5f3aa9a1217b4c002771</t>
  </si>
  <si>
    <t>Week 5-7: Course Council Quality Dashboards</t>
  </si>
  <si>
    <t>https://trello.com/c/gaMvzwH9/151-week-5-7-course-council-quality-dashboards</t>
  </si>
  <si>
    <t>523c5f3aa9a1217b4c002775</t>
  </si>
  <si>
    <t>Week 6: Update all Online Learning Metrics Dashboard</t>
  </si>
  <si>
    <t>https://trello.com/c/N4B5QZ4x/155-week-6-update-all-online-learning-metrics-dashboard</t>
  </si>
  <si>
    <t>523c5f3aa9a1217b4c00276d</t>
  </si>
  <si>
    <t>Week 6: CID Dashboard Targeted Course Improvement Bucket Weighted Interactive Report</t>
  </si>
  <si>
    <t>https://trello.com/c/xjR0YXw9/147-week-6-cid-dashboard-targeted-course-improvement-bucket-weighted-interactive-report</t>
  </si>
  <si>
    <t>523c5f3aa9a1217b4c00276b</t>
  </si>
  <si>
    <t>Week 7: Add all updated data to University Report Card KPI's</t>
  </si>
  <si>
    <t>https://trello.com/c/Spy0Z57H/137-week-7-add-all-updated-data-to-university-report-card-kpis</t>
  </si>
  <si>
    <t>523c5f3aa9a1217b4c002764</t>
  </si>
  <si>
    <t>Week 8: Course Council Web Analytics Participation Dashboard Update</t>
  </si>
  <si>
    <t>https://trello.com/c/urFkEREd/140-week-8-course-council-web-analytics-participation-dashboard-update</t>
  </si>
  <si>
    <t>523c5f3aa9a1217b4c002770</t>
  </si>
  <si>
    <t>Week 11: Run Team Dynamix report of OCRs and CLs that marked they do not know what a CCD is Gather with 2 CL's in their Offices per 2 weeks to show dashboards and get feedback</t>
  </si>
  <si>
    <t>https://trello.com/c/fHR14CZJ/150-week-11-run-team-dynamix-report-of-ocrs-and-cls-that-marked-they-do-not-know-what-a-ccd-is-gather-with-2-cls-in-their-offices-pe</t>
  </si>
  <si>
    <t>523c5f3aa9a1217b4c00276a</t>
  </si>
  <si>
    <t>Week 1-12: OCR Course Quality Reviews</t>
  </si>
  <si>
    <t>https://trello.com/c/YeWx2ldk/139-week-1-12-ocr-course-quality-reviews</t>
  </si>
  <si>
    <t>523c5f3aa9a1217b4c002766</t>
  </si>
  <si>
    <t xml:space="preserve">Week 1-12: R&amp;D list of approval and Invitation for Presentations </t>
  </si>
  <si>
    <t>https://trello.com/c/41eSPlcS/142-week-1-12-rd-list-of-approval-and-invitation-for-presentations</t>
  </si>
  <si>
    <t>523c5f3aa9a1217b4c00276e</t>
  </si>
  <si>
    <t>Instructions Training for Student Employees on Pulling Each Report</t>
  </si>
  <si>
    <t>https://trello.com/c/KWdd9aWs/148-instructions-training-for-student-employees-on-pulling-each-report</t>
  </si>
  <si>
    <t>52406f9cf4ca4e527b005158</t>
  </si>
  <si>
    <t>For Administrators: Pull multiple sections for all courses across multiple semesters</t>
  </si>
  <si>
    <t>https://trello.com/c/ZDSBZ5Nj/178-for-administrators-pull-multiple-sections-for-all-courses-across-multiple-semesters</t>
  </si>
  <si>
    <t>521e5d47a7475bd0160003b5</t>
  </si>
  <si>
    <t>add Initial_Report -ALL, OO, CD, OC to Completed (SP13)</t>
  </si>
  <si>
    <t>https://trello.com/c/yXMHFSGl/124-add-initialreport-all-oo-cd-oc-to-completed-sp13</t>
  </si>
  <si>
    <t>5373ee689d6eb08354b54d31</t>
  </si>
  <si>
    <t>5457b87ba9979fc23a50b7e5</t>
  </si>
  <si>
    <t>EPS (15-20 hours per week)</t>
  </si>
  <si>
    <t>https://trello.com/c/djIIi2kO/185-eps-15-20-hours-per-week</t>
  </si>
  <si>
    <t>5457b84b5c4a5305e6e04d3d</t>
  </si>
  <si>
    <t>Watch List</t>
  </si>
  <si>
    <t>https://trello.com/c/Cf7ET3sY/238-watch-list</t>
  </si>
  <si>
    <t>5457b8899a827d4afcc19acc</t>
  </si>
  <si>
    <t>Lesson Level Surveys</t>
  </si>
  <si>
    <t>https://trello.com/c/3wVF1oPy/239-lesson-level-surveys</t>
  </si>
  <si>
    <t>5457b88d55b55cb5df97e695</t>
  </si>
  <si>
    <t>Mid-Course Survey</t>
  </si>
  <si>
    <t>https://trello.com/c/tBtnIgSD/240-mid-course-survey</t>
  </si>
  <si>
    <t>5457b8936d70b957f5338b2d</t>
  </si>
  <si>
    <t>End of Course Survey</t>
  </si>
  <si>
    <t>https://trello.com/c/YqxplKrq/241-end-of-course-survey</t>
  </si>
  <si>
    <t>560b156dfd1f8e3d49270ca5</t>
  </si>
  <si>
    <t>https://trello.com/c/mS41eYhG/304-live-course-reviews</t>
  </si>
  <si>
    <t>545a97eb779cc4957e5061b1</t>
  </si>
  <si>
    <t>Outcomes and Assessment with Alan Dutson (3 hours per week)</t>
  </si>
  <si>
    <t>https://trello.com/c/LMgk2f4d/243-outcomes-and-assessment-with-alan-dutson-3-hours-per-week</t>
  </si>
  <si>
    <t>57be12d9ef23366cec119171</t>
  </si>
  <si>
    <t>Pilot Evaluation</t>
  </si>
  <si>
    <t>https://trello.com/c/WGP6BAeN/376-pilot-evaluation</t>
  </si>
  <si>
    <t>5641232ec263e32f94043882</t>
  </si>
  <si>
    <t>Virtual Gathering Data Collection</t>
  </si>
  <si>
    <t>https://trello.com/c/OZ42TZcq/318-virtual-gathering-data-collection</t>
  </si>
  <si>
    <t>569554700ce6c7f4b9da3703</t>
  </si>
  <si>
    <t>569554460c250e196d7812e4</t>
  </si>
  <si>
    <t>https://trello.com/c/8vpEHWUO/336-outcomes-and-assessment-improvement</t>
  </si>
  <si>
    <t>5695565cbb8bfe21f98b5ce8</t>
  </si>
  <si>
    <t>Teach One Another Initiative</t>
  </si>
  <si>
    <t>https://trello.com/c/Yhp3L3uN/337-teach-one-another-initiative</t>
  </si>
  <si>
    <t>589cae3da8eae1336d0c8b64</t>
  </si>
  <si>
    <t>589ca3b277fb5af659519180</t>
  </si>
  <si>
    <t>https://trello.com/c/Awl0nuvf/83-professional-development</t>
  </si>
  <si>
    <t>54f8a0f91afeb9a8c26a040b</t>
  </si>
  <si>
    <t>Proactive Improvement Project diagram.</t>
  </si>
  <si>
    <t>https://trello.com/c/2APIQqHK/2-proactive-improvement-project-diagram</t>
  </si>
  <si>
    <t>54ca51d1fabbe936966bbdc5</t>
  </si>
  <si>
    <t>Pathway Email change</t>
  </si>
  <si>
    <t>https://trello.com/c/3fsvlnKu/16-pathway-email-change</t>
  </si>
  <si>
    <t>54b96fa11835ba3bba04aaac</t>
  </si>
  <si>
    <t>Plan for Spring 2015 end-of-semester</t>
  </si>
  <si>
    <t>https://trello.com/c/xd3l2BfJ/18-plan-for-spring-2015-end-of-semester</t>
  </si>
  <si>
    <t>555f425c15221f0f8606cd62</t>
  </si>
  <si>
    <t>Closing the Loop on Pilots</t>
  </si>
  <si>
    <t>https://trello.com/c/dJRPY4RM/27-closing-the-loop-on-pilots</t>
  </si>
  <si>
    <t>54d8ff37c7682a12c107f2da</t>
  </si>
  <si>
    <t>Conclusion Week Activities Due Dates</t>
  </si>
  <si>
    <t>https://trello.com/c/M6ylyOMd/4-conclusion-week-activities-due-dates</t>
  </si>
  <si>
    <t>568c152d59dfd3c3483490f2</t>
  </si>
  <si>
    <t>Streamlined Improvement Process</t>
  </si>
  <si>
    <t>https://trello.com/c/AXGrvUhK/44-streamlined-improvement-process</t>
  </si>
  <si>
    <t>5761895a3d9a58857c70fee8</t>
  </si>
  <si>
    <t>Integrate TD into my role</t>
  </si>
  <si>
    <t>https://trello.com/c/189bOBZO/55-integrate-td-into-my-role</t>
  </si>
  <si>
    <t>55381ad8ae4566973dd8cef4</t>
  </si>
  <si>
    <t>Semester Improvement Project Reporting</t>
  </si>
  <si>
    <t>https://trello.com/c/C9DARCd9/23-semester-improvement-project-reporting</t>
  </si>
  <si>
    <t>55157c7f9e99c01854f76aa1</t>
  </si>
  <si>
    <t>Analysis of Instructions for Frequently-used ERR</t>
  </si>
  <si>
    <t>https://trello.com/c/4PPympAl/22-analysis-of-instructions-for-frequently-used-err</t>
  </si>
  <si>
    <t>57768d2bab07ef69c4b12625</t>
  </si>
  <si>
    <t>COMM 273 Fix via PowerPoint</t>
  </si>
  <si>
    <t>https://trello.com/c/4UKSaOxG/58-comm-273-fix-via-powerpoint</t>
  </si>
  <si>
    <t>56041b5c516f505024f32806</t>
  </si>
  <si>
    <t>0-Version MOU</t>
  </si>
  <si>
    <t>https://trello.com/c/tdjrEJEq/40-0-version-mou</t>
  </si>
  <si>
    <t>58a2380474a1f2b785237616</t>
  </si>
  <si>
    <t>https://trello.com/c/iuRYKtWF/87-change-workflow-improvement-1</t>
  </si>
  <si>
    <t>589ca3cee1675abd15540256</t>
  </si>
  <si>
    <t>"Missionary" One-Pagers</t>
  </si>
  <si>
    <t>https://trello.com/c/OU4DiMFF/76-missionary-one-pagers</t>
  </si>
  <si>
    <t>556896bb7a851ce4a23985bd</t>
  </si>
  <si>
    <t>Develop system to monitor courses on Watch List</t>
  </si>
  <si>
    <t>https://trello.com/c/ClZqXcXv/30-develop-system-to-monitor-courses-on-watch-list</t>
  </si>
  <si>
    <t>5734f6b2e822d5f33effd09b</t>
  </si>
  <si>
    <t>Course Council Training Site</t>
  </si>
  <si>
    <t>https://trello.com/c/Srqxd8y2/50-course-council-training-site</t>
  </si>
  <si>
    <t>5612ae7ad877003736eaef8a</t>
  </si>
  <si>
    <t>573f6f2ad5d2d9cee10fbdfb</t>
  </si>
  <si>
    <t>CIT Program Overhaul</t>
  </si>
  <si>
    <t>https://trello.com/c/99p65I6G/41-cit-program-overhaul</t>
  </si>
  <si>
    <t>54d11d172802bf18c5a498c2</t>
  </si>
  <si>
    <t>555b4f6091a8c25edf95773e</t>
  </si>
  <si>
    <t>How to Keep Instructors Updated on Course Fixes &amp; Improvements</t>
  </si>
  <si>
    <t>https://trello.com/c/GsEzXVmJ/17-how-to-keep-instructors-updated-on-course-fixes-improvements</t>
  </si>
  <si>
    <t>54b96ed6ef0437794b421fd6</t>
  </si>
  <si>
    <t>Copyright Notice insertion for all courses</t>
  </si>
  <si>
    <t>https://trello.com/c/kmka5Abj/6-copyright-notice-insertion-for-all-courses</t>
  </si>
  <si>
    <t>553821b502ec261f2406cb9a</t>
  </si>
  <si>
    <t>Develop Framework for Courses on Watchlist</t>
  </si>
  <si>
    <t>https://trello.com/c/kzUSoMw2/9-develop-framework-for-courses-on-watchlist</t>
  </si>
  <si>
    <t>554a408fe20bb694be607327</t>
  </si>
  <si>
    <t>IDLC Trip and Pathway Site Visit</t>
  </si>
  <si>
    <t>https://trello.com/c/HW5fEvu2/24-idlc-trip-and-pathway-site-visit</t>
  </si>
  <si>
    <t>55db9a25c204609fa9317fa5</t>
  </si>
  <si>
    <t>Ghanaian Student Relief</t>
  </si>
  <si>
    <t>https://trello.com/c/pU7SMZVY/38-ghanaian-student-relief</t>
  </si>
  <si>
    <t>55c4bc572624f2008eaa23cb</t>
  </si>
  <si>
    <t>Learning Cody's duties</t>
  </si>
  <si>
    <t>https://trello.com/c/unlSYGFN/37-learning-codys-duties</t>
  </si>
  <si>
    <t>554910d59bd128c874afb95b</t>
  </si>
  <si>
    <t>FDREL/FHGEN Course Lead Assistance</t>
  </si>
  <si>
    <t>https://trello.com/c/F657ZYbr/11-fdrel-fhgen-course-lead-assistance</t>
  </si>
  <si>
    <t>559b0da16d6cf5d538ea2429</t>
  </si>
  <si>
    <t>Development Contract Reporting</t>
  </si>
  <si>
    <t>https://trello.com/c/eVfAt0Bn/32-development-contract-reporting</t>
  </si>
  <si>
    <t>56466b778d9206e30cd40ec4</t>
  </si>
  <si>
    <t>568c1196516befb0cb225704</t>
  </si>
  <si>
    <t>Outcomes Alignment Fall 2015</t>
  </si>
  <si>
    <t>https://trello.com/c/arZQ4gkR/43-outcomes-alignment-fall-2015</t>
  </si>
  <si>
    <t>Steven Willis | Ben Fryar</t>
  </si>
  <si>
    <t>Steven Willis | Daniel Balls | Ben Fryar</t>
  </si>
  <si>
    <t>Closed</t>
  </si>
  <si>
    <t>View</t>
  </si>
  <si>
    <t>BYUI LMS Grades added to the DW</t>
  </si>
  <si>
    <t>BYUI LMS Instructor Usage added to the DW</t>
  </si>
  <si>
    <t>Consultation with Instruction</t>
  </si>
  <si>
    <t>N</t>
  </si>
  <si>
    <t>https://trello.com/c/D8j3kC3q</t>
  </si>
  <si>
    <t>Qualtrics End-of-Course Evaluation Data Definitions</t>
  </si>
  <si>
    <t>Improve Transcript Process</t>
  </si>
  <si>
    <t>Su17</t>
  </si>
  <si>
    <t>Pathway Sites Data Definitions</t>
  </si>
  <si>
    <t>OCR-M Added to the Data Warehouse</t>
  </si>
  <si>
    <t>https://trello.com/c/38vk04bn</t>
  </si>
  <si>
    <t>Student milestones added to the DW</t>
  </si>
  <si>
    <t>https://trello.com/c/9Aw2eqVO</t>
  </si>
  <si>
    <t>Column1</t>
  </si>
  <si>
    <t>Steve W.</t>
  </si>
  <si>
    <t>A place to manage and share knowledge.</t>
  </si>
  <si>
    <t>URL</t>
  </si>
  <si>
    <t>59a4530fcb81c540bd9ce4b4</t>
  </si>
  <si>
    <t>Resurrect Quick Sheets as a Product</t>
  </si>
  <si>
    <t>https://trello.com/c/ySAQ6dbx/612-resurrect-quick-sheets-as-a-product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</si>
</sst>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0">
    <xf numFmtId="0" fontId="0" fillId="0" borderId="0" xfId="0"/>
    <xf numFmtId="0" fontId="1" fillId="0" borderId="0" xfId="1" applyNumberFormat="1"/>
    <xf numFmtId="11" fontId="1" fillId="0" borderId="0" xfId="1" applyNumberFormat="1"/>
    <xf numFmtId="0" fontId="1" fillId="0" borderId="0" xfId="1"/>
    <xf numFmtId="0" fontId="3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4" fillId="0" borderId="0" xfId="2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2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Border="1" applyAlignment="1">
      <alignment horizontal="center" vertical="center"/>
    </xf>
    <xf numFmtId="0" fontId="4" fillId="0" borderId="0" xfId="2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left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0" borderId="0" xfId="0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center"/>
    </xf>
    <xf numFmtId="0" fontId="4" fillId="0" borderId="0" xfId="2" applyAlignment="1">
      <alignment horizontal="left"/>
    </xf>
    <xf numFmtId="0" fontId="0" fillId="0" borderId="0" xfId="0" applyBorder="1"/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1" fontId="0" fillId="0" borderId="0" xfId="0" applyNumberFormat="1"/>
    <xf numFmtId="0" fontId="2" fillId="0" borderId="0" xfId="0" applyFont="1" applyAlignment="1">
      <alignment horizontal="center"/>
    </xf>
    <xf numFmtId="11" fontId="0" fillId="0" borderId="0" xfId="0" applyNumberFormat="1" applyBorder="1" applyAlignment="1">
      <alignment horizontal="center" vertical="center"/>
    </xf>
    <xf numFmtId="0" fontId="0" fillId="0" borderId="0" xfId="0" applyAlignment="1"/>
    <xf numFmtId="0" fontId="4" fillId="0" borderId="0" xfId="2" applyNumberFormat="1"/>
    <xf numFmtId="0" fontId="4" fillId="7" borderId="0" xfId="2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0" borderId="0" xfId="0" applyFont="1"/>
    <xf numFmtId="1" fontId="0" fillId="0" borderId="0" xfId="0" applyNumberFormat="1" applyFont="1" applyAlignment="1">
      <alignment horizontal="center"/>
    </xf>
    <xf numFmtId="0" fontId="0" fillId="7" borderId="0" xfId="0" applyFont="1" applyFill="1"/>
    <xf numFmtId="0" fontId="0" fillId="0" borderId="1" xfId="0" applyBorder="1" applyAlignment="1">
      <alignment horizontal="center"/>
    </xf>
    <xf numFmtId="0" fontId="0" fillId="0" borderId="0" xfId="0" applyBorder="1" applyAlignment="1"/>
    <xf numFmtId="0" fontId="0" fillId="0" borderId="2" xfId="0" applyNumberFormat="1" applyFont="1" applyBorder="1" applyAlignment="1">
      <alignment horizontal="center"/>
    </xf>
    <xf numFmtId="0" fontId="4" fillId="7" borderId="0" xfId="2" applyFill="1" applyAlignment="1">
      <alignment horizontal="center"/>
    </xf>
    <xf numFmtId="0" fontId="4" fillId="7" borderId="0" xfId="2" applyFill="1" applyAlignment="1">
      <alignment horizontal="left"/>
    </xf>
    <xf numFmtId="0" fontId="4" fillId="7" borderId="3" xfId="2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101"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m/d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</xdr:row>
          <xdr:rowOff>76200</xdr:rowOff>
        </xdr:from>
        <xdr:to>
          <xdr:col>0</xdr:col>
          <xdr:colOff>3324225</xdr:colOff>
          <xdr:row>7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Trello Card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(Your workbook may appear frozen while updating)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295275</xdr:colOff>
      <xdr:row>9</xdr:row>
      <xdr:rowOff>180975</xdr:rowOff>
    </xdr:from>
    <xdr:to>
      <xdr:col>0</xdr:col>
      <xdr:colOff>4862810</xdr:colOff>
      <xdr:row>12</xdr:row>
      <xdr:rowOff>115788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295275" y="1905000"/>
          <a:ext cx="4567535" cy="506313"/>
          <a:chOff x="2232" y="1106"/>
          <a:chExt cx="4567535" cy="506313"/>
        </a:xfrm>
      </xdr:grpSpPr>
      <xdr:sp macro="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2232" y="1106"/>
            <a:ext cx="4567535" cy="506313"/>
          </a:xfrm>
          <a:prstGeom prst="roundRect">
            <a:avLst>
              <a:gd name="adj" fmla="val 10000"/>
            </a:avLst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41" name="Rounded Rectangle 4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17061" y="15935"/>
            <a:ext cx="4537877" cy="476655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3820" tIns="83820" rIns="83820" bIns="83820" numCol="1" spcCol="1270" anchor="ctr" anchorCtr="0">
            <a:noAutofit/>
          </a:bodyPr>
          <a:lstStyle/>
          <a:p>
            <a:pPr lvl="0" algn="ctr" defTabSz="9779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200" kern="1200"/>
              <a:t>V 0.14 Release Notes: </a:t>
            </a:r>
          </a:p>
        </xdr:txBody>
      </xdr:sp>
    </xdr:grpSp>
    <xdr:clientData/>
  </xdr:twoCellAnchor>
  <xdr:twoCellAnchor>
    <xdr:from>
      <xdr:col>0</xdr:col>
      <xdr:colOff>299733</xdr:colOff>
      <xdr:row>12</xdr:row>
      <xdr:rowOff>163044</xdr:rowOff>
    </xdr:from>
    <xdr:to>
      <xdr:col>0</xdr:col>
      <xdr:colOff>4858351</xdr:colOff>
      <xdr:row>18</xdr:row>
      <xdr:rowOff>100324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99733" y="2458569"/>
          <a:ext cx="4558618" cy="1080280"/>
          <a:chOff x="6690" y="554675"/>
          <a:chExt cx="4558618" cy="1080280"/>
        </a:xfrm>
      </xdr:grpSpPr>
      <xdr:sp macro="" textlink="">
        <xdr:nvSpPr>
          <xdr:cNvPr id="38" name="Rounded Rectangle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>
            <a:off x="6690" y="554675"/>
            <a:ext cx="4558618" cy="1080280"/>
          </a:xfrm>
          <a:prstGeom prst="roundRect">
            <a:avLst>
              <a:gd name="adj" fmla="val 10000"/>
            </a:avLst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9" name="Rounded Rectangle 6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 txBox="1"/>
        </xdr:nvSpPr>
        <xdr:spPr>
          <a:xfrm>
            <a:off x="38330" y="586315"/>
            <a:ext cx="4495338" cy="101700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53340" tIns="53340" rIns="53340" bIns="53340" numCol="1" spcCol="1270" anchor="ctr" anchorCtr="0">
            <a:noAutofit/>
          </a:bodyPr>
          <a:lstStyle/>
          <a:p>
            <a:pPr lvl="0" algn="ctr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kern="1200"/>
              <a:t>Boards to check are still hard-coded to the macro. To add a new board id, press "alt + F11" and follow the instructions in the comments.  Before touching anything in the code, I reccommend making a backup copy of the file. </a:t>
            </a:r>
          </a:p>
        </xdr:txBody>
      </xdr:sp>
    </xdr:grpSp>
    <xdr:clientData/>
  </xdr:twoCellAnchor>
  <xdr:twoCellAnchor>
    <xdr:from>
      <xdr:col>0</xdr:col>
      <xdr:colOff>299733</xdr:colOff>
      <xdr:row>18</xdr:row>
      <xdr:rowOff>147580</xdr:rowOff>
    </xdr:from>
    <xdr:to>
      <xdr:col>0</xdr:col>
      <xdr:colOff>4858351</xdr:colOff>
      <xdr:row>21</xdr:row>
      <xdr:rowOff>82393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pSpPr/>
      </xdr:nvGrpSpPr>
      <xdr:grpSpPr>
        <a:xfrm>
          <a:off x="299733" y="3586105"/>
          <a:ext cx="4558618" cy="506313"/>
          <a:chOff x="6690" y="1682211"/>
          <a:chExt cx="4558618" cy="506313"/>
        </a:xfrm>
      </xdr:grpSpPr>
      <xdr:sp macro="" textlink="">
        <xdr:nvSpPr>
          <xdr:cNvPr id="36" name="Rounded Rectangl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6690" y="1682211"/>
            <a:ext cx="4558618" cy="506313"/>
          </a:xfrm>
          <a:prstGeom prst="roundRect">
            <a:avLst>
              <a:gd name="adj" fmla="val 10000"/>
            </a:avLst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7" name="Rounded Rectangle 8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/>
        </xdr:nvSpPr>
        <xdr:spPr>
          <a:xfrm>
            <a:off x="21519" y="1697040"/>
            <a:ext cx="4528960" cy="476655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49530" tIns="49530" rIns="49530" bIns="49530" numCol="1" spcCol="1270" anchor="ctr" anchorCtr="0">
            <a:noAutofit/>
          </a:bodyPr>
          <a:lstStyle/>
          <a:p>
            <a:pPr lvl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300" kern="1200"/>
              <a:t>Press the "Update Trello Card Data" button to update your workbook.</a:t>
            </a:r>
          </a:p>
        </xdr:txBody>
      </xdr:sp>
    </xdr:grpSp>
    <xdr:clientData/>
  </xdr:twoCellAnchor>
  <xdr:twoCellAnchor>
    <xdr:from>
      <xdr:col>0</xdr:col>
      <xdr:colOff>299733</xdr:colOff>
      <xdr:row>21</xdr:row>
      <xdr:rowOff>129649</xdr:rowOff>
    </xdr:from>
    <xdr:to>
      <xdr:col>0</xdr:col>
      <xdr:colOff>4858351</xdr:colOff>
      <xdr:row>24</xdr:row>
      <xdr:rowOff>64462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99733" y="4139674"/>
          <a:ext cx="4558618" cy="506313"/>
          <a:chOff x="6690" y="2235780"/>
          <a:chExt cx="4558618" cy="506313"/>
        </a:xfrm>
      </xdr:grpSpPr>
      <xdr:sp macro="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6690" y="2235780"/>
            <a:ext cx="4558618" cy="506313"/>
          </a:xfrm>
          <a:prstGeom prst="roundRect">
            <a:avLst>
              <a:gd name="adj" fmla="val 10000"/>
            </a:avLst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5" name="Rounded Rectangle 10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>
            <a:off x="21519" y="2250609"/>
            <a:ext cx="4528960" cy="476655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49530" tIns="49530" rIns="49530" bIns="49530" numCol="1" spcCol="1270" anchor="ctr" anchorCtr="0">
            <a:noAutofit/>
          </a:bodyPr>
          <a:lstStyle/>
          <a:p>
            <a:pPr lvl="0" algn="ctr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300" kern="1200"/>
              <a:t>Archived cards are now shown as "closed</a:t>
            </a:r>
            <a:r>
              <a:rPr lang="en-US" sz="1300" kern="1200" baseline="0"/>
              <a:t> = True." Names now update properly. </a:t>
            </a:r>
            <a:endParaRPr lang="en-US" sz="13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dymusbenson/Desktop/Projects%20and%20Products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s"/>
      <sheetName val="Products"/>
      <sheetName val="DropDowns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2" name="Table1" displayName="Table1" ref="A1:AY412" headerRowDxfId="100">
  <autoFilter ref="A1:AY412"/>
  <sortState ref="A2:AV318">
    <sortCondition ref="A1:A318"/>
  </sortState>
  <tableColumns count="51">
    <tableColumn id="1" name="Title" totalsRowLabel="Total" dataDxfId="98" totalsRowDxfId="99"/>
    <tableColumn id="43" name="Trello" dataDxfId="96" totalsRowDxfId="97"/>
    <tableColumn id="32" name="Closed" dataDxfId="94" totalsRowDxfId="95"/>
    <tableColumn id="23" name="TrelloID" dataDxfId="92" totalsRowDxfId="93"/>
    <tableColumn id="24" name="Board" dataDxfId="90" totalsRowDxfId="91"/>
    <tableColumn id="30" name="Bucket/List" dataDxfId="88" totalsRowDxfId="89"/>
    <tableColumn id="31" name="Assigned" dataDxfId="86" totalsRowDxfId="87"/>
    <tableColumn id="13" name="URL" dataDxfId="1"/>
    <tableColumn id="22" name="Details" dataDxfId="84" totalsRowDxfId="85" dataCellStyle="Hyperlink"/>
    <tableColumn id="39" name="Link" dataDxfId="83"/>
    <tableColumn id="35" name="Column1" dataDxfId="0" dataCellStyle="Hyperlink"/>
    <tableColumn id="17" name="Team" dataDxfId="82"/>
    <tableColumn id="19" name="Lead" dataDxfId="80" totalsRowDxfId="81"/>
    <tableColumn id="3" name="Status" dataDxfId="78" totalsRowDxfId="79"/>
    <tableColumn id="41" name="Modified" dataDxfId="76" totalsRowDxfId="77"/>
    <tableColumn id="42" name="Scope" dataDxfId="74" totalsRowDxfId="75"/>
    <tableColumn id="20" name="Project Health" dataDxfId="72" totalsRowDxfId="73"/>
    <tableColumn id="45" name="% Complete" dataDxfId="70" totalsRowDxfId="71"/>
    <tableColumn id="16" name="Sem Complete" dataDxfId="68" totalsRowDxfId="69"/>
    <tableColumn id="26" name="Sponsor*" dataDxfId="66" totalsRowDxfId="67"/>
    <tableColumn id="25" name="Start Date*" dataDxfId="64" totalsRowDxfId="65"/>
    <tableColumn id="27" name="End Date*" dataDxfId="62" totalsRowDxfId="63">
      <calculatedColumnFormula>DATEDIF(Table1[[#This Row],[Sponsor*]],Table1[[#This Row],[Start Date*]],"d")</calculatedColumnFormula>
    </tableColumn>
    <tableColumn id="21" name="Duration" totalsRowFunction="sum" dataDxfId="11" totalsRowDxfId="61">
      <calculatedColumnFormula>DATEDIF([1]!Table1[[#This Row],[Start Date*]],[1]!Table1[[#This Row],[End Date*]],"d")</calculatedColumnFormula>
    </tableColumn>
    <tableColumn id="6" name="Planned Total Hrs*" totalsRowFunction="sum" dataDxfId="59" totalsRowDxfId="60"/>
    <tableColumn id="7" name="DB" totalsRowFunction="sum" dataDxfId="57" totalsRowDxfId="58"/>
    <tableColumn id="8" name="CH" totalsRowFunction="sum" dataDxfId="55" totalsRowDxfId="56"/>
    <tableColumn id="9" name="JH" totalsRowFunction="sum" dataDxfId="53" totalsRowDxfId="54"/>
    <tableColumn id="10" name="AB" totalsRowFunction="sum" dataDxfId="51" totalsRowDxfId="52"/>
    <tableColumn id="11" name="CO" totalsRowFunction="sum" dataDxfId="49" totalsRowDxfId="50"/>
    <tableColumn id="12" name="SW" totalsRowFunction="sum" dataDxfId="47" totalsRowDxfId="48"/>
    <tableColumn id="40" name="EH" dataDxfId="45" totalsRowDxfId="46"/>
    <tableColumn id="5" name="Up Next Priority" totalsRowFunction="sum" dataDxfId="43" totalsRowDxfId="44"/>
    <tableColumn id="14" name="Online Learning" totalsRowFunction="sum" dataDxfId="41" totalsRowDxfId="42"/>
    <tableColumn id="15" name="CurrDev" totalsRowFunction="sum" dataDxfId="39" totalsRowDxfId="40"/>
    <tableColumn id="28" name="PW" totalsRowFunction="sum" dataDxfId="37" totalsRowDxfId="38"/>
    <tableColumn id="29" name="Campus" totalsRowFunction="sum" dataDxfId="35" totalsRowDxfId="36"/>
    <tableColumn id="2" name="Other" totalsRowDxfId="34">
      <calculatedColumnFormula>SUBTOTAL(9,Table1[[#This Row],[Up Next Priority]:[Campus]])</calculatedColumnFormula>
    </tableColumn>
    <tableColumn id="44" name="Org Impact Score" totalsRowFunction="sum" dataDxfId="32" totalsRowDxfId="33"/>
    <tableColumn id="53" name="*Learning Model (Daniel)" totalsRowFunction="sum" totalsRowDxfId="31"/>
    <tableColumn id="52" name="*Program Eval (Curtis)" totalsRowFunction="sum" totalsRowDxfId="30"/>
    <tableColumn id="51" name="*Measuring T&amp;L (Steve)" totalsRowFunction="sum" totalsRowDxfId="29"/>
    <tableColumn id="50" name="*Quality Instruction (Josh)" totalsRowFunction="sum" totalsRowDxfId="28"/>
    <tableColumn id="49" name="*Quality Course Design (Ben)" totalsRowFunction="sum" totalsRowDxfId="27"/>
    <tableColumn id="46" name="Reduce Cost" totalsRowFunction="sum" totalsRowDxfId="26"/>
    <tableColumn id="54" name="Student Experience" totalsRowFunction="sum" dataDxfId="24" totalsRowDxfId="25"/>
    <tableColumn id="55" name="Tools" dataDxfId="22" totalsRowDxfId="23"/>
    <tableColumn id="18" name="Other2" dataDxfId="20" totalsRowDxfId="21">
      <calculatedColumnFormula>SUM(Table1[[#This Row],[Org Impact Score]:[Tools]])</calculatedColumnFormula>
    </tableColumn>
    <tableColumn id="37" name="Initiatives Impact Score" totalsRowFunction="sum" dataDxfId="18" totalsRowDxfId="19"/>
    <tableColumn id="4" name="R&amp;D: Safe" totalsRowFunction="sum" dataDxfId="16" totalsRowDxfId="17"/>
    <tableColumn id="38" name="R&amp;D: Big Bet" totalsRowFunction="sum" dataDxfId="14" totalsRowDxfId="15"/>
    <tableColumn id="33" name="Evaluation" dataDxfId="13" totalsRowDxfId="1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164" displayName="Table164" ref="A1:I25" totalsRowShown="0" headerRowDxfId="10">
  <autoFilter ref="A1:I25"/>
  <sortState ref="A2:I17">
    <sortCondition ref="E1:E17"/>
  </sortState>
  <tableColumns count="9">
    <tableColumn id="1" name="Title" dataDxfId="9"/>
    <tableColumn id="2" name="Description" dataDxfId="8"/>
    <tableColumn id="3" name="Team" dataDxfId="7"/>
    <tableColumn id="4" name="Previous Owner (to be deleted)" dataDxfId="6"/>
    <tableColumn id="12" name="Owner" dataDxfId="5"/>
    <tableColumn id="11" name="Load" dataDxfId="4"/>
    <tableColumn id="6" name="PSD Status" dataDxfId="3"/>
    <tableColumn id="5" name="Last Reviewed" dataDxfId="2"/>
    <tableColumn id="7" name="Not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rello.com/c/XUCf77ac" TargetMode="External"/><Relationship Id="rId21" Type="http://schemas.openxmlformats.org/officeDocument/2006/relationships/hyperlink" Target="https://trello.com/c/RzXPQOoq" TargetMode="External"/><Relationship Id="rId42" Type="http://schemas.openxmlformats.org/officeDocument/2006/relationships/hyperlink" Target="https://trello.com/c/0RSVUHUv" TargetMode="External"/><Relationship Id="rId47" Type="http://schemas.openxmlformats.org/officeDocument/2006/relationships/hyperlink" Target="https://trello.com/c/38vk04bn" TargetMode="External"/><Relationship Id="rId63" Type="http://schemas.openxmlformats.org/officeDocument/2006/relationships/hyperlink" Target="https://trello.com/c/0Rl2oUNo" TargetMode="External"/><Relationship Id="rId68" Type="http://schemas.openxmlformats.org/officeDocument/2006/relationships/hyperlink" Target="https://trello.com/c/lWe6R1j3/397-instructor-feedback-touchpoints-project" TargetMode="External"/><Relationship Id="rId84" Type="http://schemas.openxmlformats.org/officeDocument/2006/relationships/hyperlink" Target="https://trello.com/c/38vk04bn" TargetMode="External"/><Relationship Id="rId89" Type="http://schemas.openxmlformats.org/officeDocument/2006/relationships/hyperlink" Target="https://trello.com/c/3cZIp2Lb" TargetMode="External"/><Relationship Id="rId16" Type="http://schemas.openxmlformats.org/officeDocument/2006/relationships/hyperlink" Target="https://trello.com/c/wXv61poI" TargetMode="External"/><Relationship Id="rId11" Type="http://schemas.openxmlformats.org/officeDocument/2006/relationships/hyperlink" Target="https://trello.com/c/jeBSR1uo" TargetMode="External"/><Relationship Id="rId32" Type="http://schemas.openxmlformats.org/officeDocument/2006/relationships/hyperlink" Target="https://trello.com/c/YavEHr1V" TargetMode="External"/><Relationship Id="rId37" Type="http://schemas.openxmlformats.org/officeDocument/2006/relationships/hyperlink" Target="https://trello.com/c/8bci8L2b" TargetMode="External"/><Relationship Id="rId53" Type="http://schemas.openxmlformats.org/officeDocument/2006/relationships/hyperlink" Target="https://trello.com/c/xjKYsFO4" TargetMode="External"/><Relationship Id="rId58" Type="http://schemas.openxmlformats.org/officeDocument/2006/relationships/hyperlink" Target="https://trello.com/c/BBuBf51r" TargetMode="External"/><Relationship Id="rId74" Type="http://schemas.openxmlformats.org/officeDocument/2006/relationships/hyperlink" Target="https://trello.com/c/93VNZXbD" TargetMode="External"/><Relationship Id="rId79" Type="http://schemas.openxmlformats.org/officeDocument/2006/relationships/hyperlink" Target="https://trello.com/c/8DR4SHRw" TargetMode="External"/><Relationship Id="rId5" Type="http://schemas.openxmlformats.org/officeDocument/2006/relationships/hyperlink" Target="https://trello.com/c/8DR4SHRw" TargetMode="External"/><Relationship Id="rId90" Type="http://schemas.openxmlformats.org/officeDocument/2006/relationships/hyperlink" Target="https://trello.com/c/2ZL1ZHTp" TargetMode="External"/><Relationship Id="rId95" Type="http://schemas.openxmlformats.org/officeDocument/2006/relationships/printerSettings" Target="../printerSettings/printerSettings1.bin"/><Relationship Id="rId22" Type="http://schemas.openxmlformats.org/officeDocument/2006/relationships/hyperlink" Target="https://trello.com/c/Gt9YvnwT" TargetMode="External"/><Relationship Id="rId27" Type="http://schemas.openxmlformats.org/officeDocument/2006/relationships/hyperlink" Target="https://trello.com/c/ZZdlUpaM" TargetMode="External"/><Relationship Id="rId43" Type="http://schemas.openxmlformats.org/officeDocument/2006/relationships/hyperlink" Target="https://trello.com/c/0r2y4TpY" TargetMode="External"/><Relationship Id="rId48" Type="http://schemas.openxmlformats.org/officeDocument/2006/relationships/hyperlink" Target="https://trello.com/c/9Aw2eqVO" TargetMode="External"/><Relationship Id="rId64" Type="http://schemas.openxmlformats.org/officeDocument/2006/relationships/hyperlink" Target="https://trello.com/c/sDdAuiPu" TargetMode="External"/><Relationship Id="rId69" Type="http://schemas.openxmlformats.org/officeDocument/2006/relationships/hyperlink" Target="https://trello.com/c/YavEHr1V" TargetMode="External"/><Relationship Id="rId8" Type="http://schemas.openxmlformats.org/officeDocument/2006/relationships/hyperlink" Target="https://trello.com/c/lWe6R1j3/397-instructor-feedback-touchpoints-project" TargetMode="External"/><Relationship Id="rId51" Type="http://schemas.openxmlformats.org/officeDocument/2006/relationships/hyperlink" Target="https://trello.com/c/jeBSR1uo" TargetMode="External"/><Relationship Id="rId72" Type="http://schemas.openxmlformats.org/officeDocument/2006/relationships/hyperlink" Target="https://trello.com/c/aSRz088i" TargetMode="External"/><Relationship Id="rId80" Type="http://schemas.openxmlformats.org/officeDocument/2006/relationships/hyperlink" Target="https://trello.com/c/wXv61poI" TargetMode="External"/><Relationship Id="rId85" Type="http://schemas.openxmlformats.org/officeDocument/2006/relationships/hyperlink" Target="https://trello.com/c/3yXgBzOH" TargetMode="External"/><Relationship Id="rId93" Type="http://schemas.openxmlformats.org/officeDocument/2006/relationships/hyperlink" Target="https://trello.com/c/6vo5lBWk" TargetMode="External"/><Relationship Id="rId3" Type="http://schemas.openxmlformats.org/officeDocument/2006/relationships/hyperlink" Target="https://trello.com/c/N2V8NKxt" TargetMode="External"/><Relationship Id="rId12" Type="http://schemas.openxmlformats.org/officeDocument/2006/relationships/hyperlink" Target="https://trello.com/c/nWdbRrPU" TargetMode="External"/><Relationship Id="rId17" Type="http://schemas.openxmlformats.org/officeDocument/2006/relationships/hyperlink" Target="https://trello.com/c/6vo5lBWk" TargetMode="External"/><Relationship Id="rId25" Type="http://schemas.openxmlformats.org/officeDocument/2006/relationships/hyperlink" Target="https://trello.com/c/Z4V4P7kJ" TargetMode="External"/><Relationship Id="rId33" Type="http://schemas.openxmlformats.org/officeDocument/2006/relationships/hyperlink" Target="https://trello.com/c/6MkQ0jVC" TargetMode="External"/><Relationship Id="rId38" Type="http://schemas.openxmlformats.org/officeDocument/2006/relationships/hyperlink" Target="https://trello.com/c/bLrzcrGM" TargetMode="External"/><Relationship Id="rId46" Type="http://schemas.openxmlformats.org/officeDocument/2006/relationships/hyperlink" Target="https://trello.com/c/D8j3kC3q" TargetMode="External"/><Relationship Id="rId59" Type="http://schemas.openxmlformats.org/officeDocument/2006/relationships/hyperlink" Target="https://trello.com/c/aTj6khYa" TargetMode="External"/><Relationship Id="rId67" Type="http://schemas.openxmlformats.org/officeDocument/2006/relationships/hyperlink" Target="https://trello.com/c/AVOalSuP" TargetMode="External"/><Relationship Id="rId20" Type="http://schemas.openxmlformats.org/officeDocument/2006/relationships/hyperlink" Target="https://trello.com/c/93VNZXbD" TargetMode="External"/><Relationship Id="rId41" Type="http://schemas.openxmlformats.org/officeDocument/2006/relationships/hyperlink" Target="https://trello.com/c/WDTL0LFx" TargetMode="External"/><Relationship Id="rId54" Type="http://schemas.openxmlformats.org/officeDocument/2006/relationships/hyperlink" Target="https://trello.com/c/Gt9YvnwT" TargetMode="External"/><Relationship Id="rId62" Type="http://schemas.openxmlformats.org/officeDocument/2006/relationships/hyperlink" Target="https://trello.com/c/D8j3kC3q" TargetMode="External"/><Relationship Id="rId70" Type="http://schemas.openxmlformats.org/officeDocument/2006/relationships/hyperlink" Target="https://trello.com/c/2LnzHN1V/569-mentoring-technology-solution" TargetMode="External"/><Relationship Id="rId75" Type="http://schemas.openxmlformats.org/officeDocument/2006/relationships/hyperlink" Target="https://trello.com/c/0r2y4TpY" TargetMode="External"/><Relationship Id="rId83" Type="http://schemas.openxmlformats.org/officeDocument/2006/relationships/hyperlink" Target="https://trello.com/c/H6bLf8D7" TargetMode="External"/><Relationship Id="rId88" Type="http://schemas.openxmlformats.org/officeDocument/2006/relationships/hyperlink" Target="https://trello.com/c/N2V8NKxt" TargetMode="External"/><Relationship Id="rId91" Type="http://schemas.openxmlformats.org/officeDocument/2006/relationships/hyperlink" Target="https://trello.com/c/d2XVbcBP/308-product-development-student-profiles-attributes-medium" TargetMode="External"/><Relationship Id="rId96" Type="http://schemas.openxmlformats.org/officeDocument/2006/relationships/table" Target="../tables/table1.xml"/><Relationship Id="rId1" Type="http://schemas.openxmlformats.org/officeDocument/2006/relationships/hyperlink" Target="https://trello.com/c/iHigzfXE" TargetMode="External"/><Relationship Id="rId6" Type="http://schemas.openxmlformats.org/officeDocument/2006/relationships/hyperlink" Target="https://trello.com/c/2LnzHN1V/569-mentoring-technology-solution" TargetMode="External"/><Relationship Id="rId15" Type="http://schemas.openxmlformats.org/officeDocument/2006/relationships/hyperlink" Target="https://trello.com/c/0Rl2oUNo" TargetMode="External"/><Relationship Id="rId23" Type="http://schemas.openxmlformats.org/officeDocument/2006/relationships/hyperlink" Target="https://trello.com/c/7dPAzcQt" TargetMode="External"/><Relationship Id="rId28" Type="http://schemas.openxmlformats.org/officeDocument/2006/relationships/hyperlink" Target="https://trello.com/c/aTj6khYa" TargetMode="External"/><Relationship Id="rId36" Type="http://schemas.openxmlformats.org/officeDocument/2006/relationships/hyperlink" Target="https://trello.com/c/fyrbXXYC" TargetMode="External"/><Relationship Id="rId49" Type="http://schemas.openxmlformats.org/officeDocument/2006/relationships/hyperlink" Target="https://trello.com/c/7dPAzcQt" TargetMode="External"/><Relationship Id="rId57" Type="http://schemas.openxmlformats.org/officeDocument/2006/relationships/hyperlink" Target="https://trello.com/c/RzXPQOoq" TargetMode="External"/><Relationship Id="rId10" Type="http://schemas.openxmlformats.org/officeDocument/2006/relationships/hyperlink" Target="https://trello.com/c/H50hw62u" TargetMode="External"/><Relationship Id="rId31" Type="http://schemas.openxmlformats.org/officeDocument/2006/relationships/hyperlink" Target="https://trello.com/c/2ZL1ZHTp" TargetMode="External"/><Relationship Id="rId44" Type="http://schemas.openxmlformats.org/officeDocument/2006/relationships/hyperlink" Target="https://trello.com/c/sDdAuiPu" TargetMode="External"/><Relationship Id="rId52" Type="http://schemas.openxmlformats.org/officeDocument/2006/relationships/hyperlink" Target="https://trello.com/c/9eqz5dpI" TargetMode="External"/><Relationship Id="rId60" Type="http://schemas.openxmlformats.org/officeDocument/2006/relationships/hyperlink" Target="https://trello.com/c/6MkQ0jVC" TargetMode="External"/><Relationship Id="rId65" Type="http://schemas.openxmlformats.org/officeDocument/2006/relationships/hyperlink" Target="https://trello.com/c/0RSVUHUv" TargetMode="External"/><Relationship Id="rId73" Type="http://schemas.openxmlformats.org/officeDocument/2006/relationships/hyperlink" Target="https://trello.com/c/s3l7NzTc" TargetMode="External"/><Relationship Id="rId78" Type="http://schemas.openxmlformats.org/officeDocument/2006/relationships/hyperlink" Target="https://trello.com/c/iHigzfXE" TargetMode="External"/><Relationship Id="rId81" Type="http://schemas.openxmlformats.org/officeDocument/2006/relationships/hyperlink" Target="https://trello.com/c/qsAXGe0n" TargetMode="External"/><Relationship Id="rId86" Type="http://schemas.openxmlformats.org/officeDocument/2006/relationships/hyperlink" Target="https://trello.com/c/nWdbRrPU" TargetMode="External"/><Relationship Id="rId94" Type="http://schemas.openxmlformats.org/officeDocument/2006/relationships/hyperlink" Target="https://trello.com/c/9Aw2eqVO" TargetMode="External"/><Relationship Id="rId4" Type="http://schemas.openxmlformats.org/officeDocument/2006/relationships/hyperlink" Target="https://trello.com/c/aSRz088i" TargetMode="External"/><Relationship Id="rId9" Type="http://schemas.openxmlformats.org/officeDocument/2006/relationships/hyperlink" Target="https://trello.com/c/bLrzcrGM" TargetMode="External"/><Relationship Id="rId13" Type="http://schemas.openxmlformats.org/officeDocument/2006/relationships/hyperlink" Target="https://trello.com/c/AVOalSuP" TargetMode="External"/><Relationship Id="rId18" Type="http://schemas.openxmlformats.org/officeDocument/2006/relationships/hyperlink" Target="https://trello.com/c/H6bLf8D7" TargetMode="External"/><Relationship Id="rId39" Type="http://schemas.openxmlformats.org/officeDocument/2006/relationships/hyperlink" Target="https://trello.com/c/3cZIp2Lb" TargetMode="External"/><Relationship Id="rId34" Type="http://schemas.openxmlformats.org/officeDocument/2006/relationships/hyperlink" Target="https://trello.com/c/9eqz5dpI" TargetMode="External"/><Relationship Id="rId50" Type="http://schemas.openxmlformats.org/officeDocument/2006/relationships/hyperlink" Target="https://trello.com/c/XUCf77ac" TargetMode="External"/><Relationship Id="rId55" Type="http://schemas.openxmlformats.org/officeDocument/2006/relationships/hyperlink" Target="https://trello.com/c/U9DLL8SA" TargetMode="External"/><Relationship Id="rId76" Type="http://schemas.openxmlformats.org/officeDocument/2006/relationships/hyperlink" Target="https://trello.com/c/bLrzcrGM" TargetMode="External"/><Relationship Id="rId7" Type="http://schemas.openxmlformats.org/officeDocument/2006/relationships/hyperlink" Target="https://trello.com/c/d2XVbcBP/308-product-development-student-profiles-attributes-medium" TargetMode="External"/><Relationship Id="rId71" Type="http://schemas.openxmlformats.org/officeDocument/2006/relationships/hyperlink" Target="https://trello.com/c/Tr3zh7Td" TargetMode="External"/><Relationship Id="rId92" Type="http://schemas.openxmlformats.org/officeDocument/2006/relationships/hyperlink" Target="https://trello.com/c/H50hw62u" TargetMode="External"/><Relationship Id="rId2" Type="http://schemas.openxmlformats.org/officeDocument/2006/relationships/hyperlink" Target="https://trello.com/c/ranTTWUZ" TargetMode="External"/><Relationship Id="rId29" Type="http://schemas.openxmlformats.org/officeDocument/2006/relationships/hyperlink" Target="https://trello.com/c/Tr3zh7Td" TargetMode="External"/><Relationship Id="rId24" Type="http://schemas.openxmlformats.org/officeDocument/2006/relationships/hyperlink" Target="https://trello.com/c/BBuBf51r" TargetMode="External"/><Relationship Id="rId40" Type="http://schemas.openxmlformats.org/officeDocument/2006/relationships/hyperlink" Target="https://trello.com/c/U9DLL8SA" TargetMode="External"/><Relationship Id="rId45" Type="http://schemas.openxmlformats.org/officeDocument/2006/relationships/hyperlink" Target="https://trello.com/c/s3l7NzTc" TargetMode="External"/><Relationship Id="rId66" Type="http://schemas.openxmlformats.org/officeDocument/2006/relationships/hyperlink" Target="https://trello.com/c/8bci8L2b" TargetMode="External"/><Relationship Id="rId87" Type="http://schemas.openxmlformats.org/officeDocument/2006/relationships/hyperlink" Target="https://trello.com/c/Z4V4P7kJ" TargetMode="External"/><Relationship Id="rId61" Type="http://schemas.openxmlformats.org/officeDocument/2006/relationships/hyperlink" Target="https://trello.com/c/ZZdlUpaM" TargetMode="External"/><Relationship Id="rId82" Type="http://schemas.openxmlformats.org/officeDocument/2006/relationships/hyperlink" Target="https://trello.com/c/fyrbXXYC" TargetMode="External"/><Relationship Id="rId19" Type="http://schemas.openxmlformats.org/officeDocument/2006/relationships/hyperlink" Target="https://trello.com/c/xjKYsFO4" TargetMode="External"/><Relationship Id="rId14" Type="http://schemas.openxmlformats.org/officeDocument/2006/relationships/hyperlink" Target="https://trello.com/c/3yXgBzOH" TargetMode="External"/><Relationship Id="rId30" Type="http://schemas.openxmlformats.org/officeDocument/2006/relationships/hyperlink" Target="https://trello.com/c/qsAXGe0n" TargetMode="External"/><Relationship Id="rId35" Type="http://schemas.openxmlformats.org/officeDocument/2006/relationships/hyperlink" Target="https://trello.com/c/oMRtN8kM" TargetMode="External"/><Relationship Id="rId56" Type="http://schemas.openxmlformats.org/officeDocument/2006/relationships/hyperlink" Target="https://trello.com/c/ranTTWUZ" TargetMode="External"/><Relationship Id="rId77" Type="http://schemas.openxmlformats.org/officeDocument/2006/relationships/hyperlink" Target="https://trello.com/c/oMRtN8k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ebmailbyui.sharepoint.com/sites/CIEvaluation/_layouts/15/WopiFrame.aspx?sourcedoc=%7B75d70d86-2815-481b-8370-4ac50d9bccbe%7D&amp;action=default" TargetMode="External"/><Relationship Id="rId13" Type="http://schemas.openxmlformats.org/officeDocument/2006/relationships/hyperlink" Target="../../CIEvaluation/_layouts/15/guestaccess.aspx?guestaccesstoken=aCcYHTrIv3xbGt2o6eM%2fywGeN9ebWBpv0RdarFFEpuU%3d&amp;docid=2_0a34da23f66f0452ca5275a6ddb0cc29d&amp;rev=1" TargetMode="External"/><Relationship Id="rId18" Type="http://schemas.openxmlformats.org/officeDocument/2006/relationships/hyperlink" Target="../../../../ceaserii_byui_edu/_layouts/15/WopiFrame.aspx?sourcedoc=%7B4FF53601-8457-4B32-BDC8-847551FE74A9%7D&amp;file=Governance%20Doc%20-%20Online%20Course%20Statistics%20Web%20Report.docx&amp;action=default" TargetMode="External"/><Relationship Id="rId3" Type="http://schemas.openxmlformats.org/officeDocument/2006/relationships/hyperlink" Target="../../CIEvaluation/_layouts/15/guestaccess.aspx?guestaccesstoken=frBAW%2fedbqJZtdTZkjQgAmM0%2baOj0bCEwRdqFeunchY%3d&amp;docid=2_06a74402199f843278d4a407f3f6ca25e&amp;rev=1" TargetMode="External"/><Relationship Id="rId7" Type="http://schemas.openxmlformats.org/officeDocument/2006/relationships/hyperlink" Target="../../CIEvaluation/_layouts/15/guestaccess.aspx?guestaccesstoken=CwBMrGF46dEhUYTHTZ3UNZr1G2gwBopWwYrM7Kc4DXE%3d&amp;docid=2_0676b6b2aa4b447d39328a73775b99b14&amp;rev=1" TargetMode="External"/><Relationship Id="rId12" Type="http://schemas.openxmlformats.org/officeDocument/2006/relationships/hyperlink" Target="../../CIEvaluation/_layouts/15/guestaccess.aspx?guestaccesstoken=P63RMa8e7n5Srlf5iKXkR%2bC5yg65x8V6imlroTvfmXE%3d&amp;docid=2_05a16dac9c0244e4a8f7f22053ed5a7bb&amp;rev=1" TargetMode="External"/><Relationship Id="rId17" Type="http://schemas.openxmlformats.org/officeDocument/2006/relationships/hyperlink" Target="../../OnlinePC/_layouts/15/guestaccess.aspx?guestaccesstoken=JB269plIlcmKx9IU8morkt9zjjuDdAe6cfxJR8VEkxM%3d&amp;docid=2_0292fcc2308fb434fbbbd13c347f1de23&amp;rev=1" TargetMode="External"/><Relationship Id="rId2" Type="http://schemas.openxmlformats.org/officeDocument/2006/relationships/hyperlink" Target="../../CIEvaluation/_layouts/15/guestaccess.aspx?guestaccesstoken=0WF5upfxr9brlo75z%2buJ9KOwo5pJRQ97OuA3TFv21SI%3d&amp;docid=2_03f24b54e6eb54936be9377c38b2efe30&amp;rev=1" TargetMode="External"/><Relationship Id="rId16" Type="http://schemas.openxmlformats.org/officeDocument/2006/relationships/hyperlink" Target="../../CIEvaluation/_layouts/15/guestaccess.aspx?guestaccesstoken=q3bMvp0Y9OkCQqXRz23yJub23vQub4gte6PmJtQSun0%3d&amp;docid=2_079ff0ed792394fe19bca84518db8f451&amp;rev=1" TargetMode="External"/><Relationship Id="rId20" Type="http://schemas.openxmlformats.org/officeDocument/2006/relationships/table" Target="../tables/table2.xml"/><Relationship Id="rId1" Type="http://schemas.openxmlformats.org/officeDocument/2006/relationships/hyperlink" Target="../../onlinerd/_layouts/15/guestaccess.aspx?guestaccesstoken=rlvVHZOPwJ6z0m9fSRzmiAUzbS%2fip9eOHgVKWX1xZ4E%3d&amp;docid=2_0c8f5f2dc91a641e99aa5b22c7bec7f43&amp;rev=1" TargetMode="External"/><Relationship Id="rId6" Type="http://schemas.openxmlformats.org/officeDocument/2006/relationships/hyperlink" Target="../../CIEvaluation/_layouts/15/guestaccess.aspx?guestaccesstoken=YBz8zVh1m3Cb7UDPe5%2bZl1YiF%2b5kcbeX5Wmhn1cNDUs%3d&amp;docid=2_0c9e945e3008c432c891b2fa2969b2483&amp;rev=1" TargetMode="External"/><Relationship Id="rId11" Type="http://schemas.openxmlformats.org/officeDocument/2006/relationships/hyperlink" Target="../../CIEvaluation/_layouts/15/guestaccess.aspx?guestaccesstoken=EMo9iFRJviKyM3ULX6pZyXRMxbj7iJjcyKI4pDj9ZZo%3d&amp;docid=2_02a866d7d002e460a8799d0b14daacd5b&amp;rev=1" TargetMode="External"/><Relationship Id="rId5" Type="http://schemas.openxmlformats.org/officeDocument/2006/relationships/hyperlink" Target="../_layouts/15/DocIdRedir.aspx?ID=72WZ74JYQA74-1-408" TargetMode="External"/><Relationship Id="rId15" Type="http://schemas.openxmlformats.org/officeDocument/2006/relationships/hyperlink" Target="../../CIEvaluation/_layouts/15/guestaccess.aspx?guestaccesstoken=cFxuCKOXLmIQMIq5yNTc06ezGla5eq2SdSrBSU3PDKU%3d&amp;docid=2_032bca1e41f8b478baff50504dba5c142&amp;rev=1" TargetMode="External"/><Relationship Id="rId10" Type="http://schemas.openxmlformats.org/officeDocument/2006/relationships/hyperlink" Target="../../CIEvaluation/_layouts/15/guestaccess.aspx?guestaccesstoken=J51MeEt%2fLJN4EfmfSnpg0jyLfbb4QP%2fV3FCnJVlDMi4%3d&amp;docid=2_074b69620cbdd4c629f2477c1a1ff1b3f&amp;rev=1" TargetMode="External"/><Relationship Id="rId19" Type="http://schemas.openxmlformats.org/officeDocument/2006/relationships/hyperlink" Target="https://webmailbyui.sharepoint.com/sites/OnlinePC/_layouts/15/guestaccess.aspx?guestaccesstoken=GyYd7YDKvFqJss42y3bZMv6WdGQEVbazy%2fLdwVvt7Ew%3d&amp;docid=2_03bfd0fe4c91d47f6ada2f7ded2332cca&amp;rev=1" TargetMode="External"/><Relationship Id="rId4" Type="http://schemas.openxmlformats.org/officeDocument/2006/relationships/hyperlink" Target="../../CIEvaluation/_layouts/15/guestaccess.aspx?guestaccesstoken=UDfKgLnO5JwhMv7%2fnclRit73AJrvkA68RZzMup8Jbws%3d&amp;docid=2_0c91d021dc51145579d4b6c10d4afcc29&amp;rev=1" TargetMode="External"/><Relationship Id="rId9" Type="http://schemas.openxmlformats.org/officeDocument/2006/relationships/hyperlink" Target="../../CIEvaluation/_layouts/15/guestaccess.aspx?guestaccesstoken=DXobgoA23r9KlQbM4QG1%2f5Kdy4jfb81WxfoHaLDov7c%3d&amp;docid=2_075e537fe78174257b7822d86870b4c34&amp;rev=1" TargetMode="External"/><Relationship Id="rId14" Type="http://schemas.openxmlformats.org/officeDocument/2006/relationships/hyperlink" Target="../../CIEvaluation/_layouts/15/guestaccess.aspx?guestaccesstoken=ANA%2bBIdQwTHoBfuRiPH0DN%2b8wxeJITkJ6xnk000aSH0%3d&amp;docid=2_03576776345784f03bb3d4f8fb12e1d02&amp;rev=1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412"/>
  <sheetViews>
    <sheetView topLeftCell="A214" zoomScaleNormal="100" workbookViewId="0">
      <pane xSplit="1" topLeftCell="B1" activePane="topRight" state="frozen"/>
      <selection pane="topRight" activeCell="F240" sqref="F240"/>
    </sheetView>
  </sheetViews>
  <sheetFormatPr defaultRowHeight="15"/>
  <cols>
    <col min="1" max="1" width="54.85546875" customWidth="1"/>
    <col min="2" max="3" width="9" style="12" customWidth="1"/>
    <col min="4" max="4" width="12.5703125" style="12" bestFit="1" customWidth="1"/>
    <col min="5" max="5" width="10.7109375" style="12" bestFit="1" customWidth="1"/>
    <col min="6" max="6" width="14.7109375" style="12" bestFit="1" customWidth="1"/>
    <col min="7" max="7" width="13.5703125" style="12" customWidth="1"/>
    <col min="8" max="8" width="15.7109375" style="57" customWidth="1"/>
    <col min="9" max="9" width="11.7109375" style="6" customWidth="1"/>
    <col min="10" max="10" width="10.42578125" customWidth="1"/>
    <col min="11" max="11" width="22.5703125" customWidth="1"/>
    <col min="12" max="13" width="9.7109375" customWidth="1"/>
    <col min="14" max="14" width="11" customWidth="1"/>
    <col min="15" max="15" width="10" customWidth="1"/>
    <col min="16" max="18" width="9" customWidth="1"/>
    <col min="19" max="19" width="14" customWidth="1"/>
    <col min="20" max="20" width="14.28515625" customWidth="1"/>
    <col min="21" max="21" width="9" customWidth="1"/>
    <col min="22" max="22" width="14" hidden="1" customWidth="1"/>
    <col min="23" max="23" width="11.85546875" hidden="1" customWidth="1"/>
    <col min="24" max="24" width="9" hidden="1" customWidth="1"/>
    <col min="25" max="25" width="10.7109375" hidden="1" customWidth="1"/>
    <col min="26" max="26" width="14.85546875" style="6" hidden="1" customWidth="1"/>
    <col min="27" max="27" width="15" style="34" hidden="1" customWidth="1"/>
    <col min="28" max="28" width="13" style="34" hidden="1" customWidth="1"/>
    <col min="29" max="29" width="13.28515625" style="6" hidden="1" customWidth="1"/>
    <col min="30" max="30" width="12.42578125" style="34" hidden="1" customWidth="1"/>
    <col min="31" max="31" width="10.7109375" style="38" customWidth="1"/>
    <col min="32" max="32" width="9.5703125" style="5" customWidth="1"/>
    <col min="33" max="33" width="8.7109375" customWidth="1"/>
    <col min="34" max="34" width="8.85546875" customWidth="1"/>
    <col min="35" max="35" width="7" customWidth="1"/>
    <col min="36" max="36" width="8.42578125" customWidth="1"/>
    <col min="37" max="46" width="11" customWidth="1"/>
    <col min="47" max="47" width="11.42578125" customWidth="1"/>
    <col min="48" max="48" width="13.28515625" customWidth="1"/>
    <col min="49" max="49" width="11.5703125" customWidth="1"/>
    <col min="50" max="50" width="11.28515625" customWidth="1"/>
    <col min="51" max="51" width="11.140625" customWidth="1"/>
    <col min="52" max="52" width="11" customWidth="1"/>
    <col min="53" max="53" width="12.28515625" customWidth="1"/>
    <col min="54" max="54" width="9.140625" customWidth="1"/>
    <col min="55" max="55" width="8.28515625" customWidth="1"/>
    <col min="56" max="56" width="9.5703125" customWidth="1"/>
    <col min="57" max="57" width="11.7109375" customWidth="1"/>
    <col min="58" max="58" width="11.5703125" customWidth="1"/>
    <col min="59" max="59" width="12.140625" customWidth="1"/>
  </cols>
  <sheetData>
    <row r="1" spans="1:51" s="7" customFormat="1" ht="59.25" customHeight="1">
      <c r="A1" s="20" t="s">
        <v>149</v>
      </c>
      <c r="B1" s="21" t="s">
        <v>157</v>
      </c>
      <c r="C1" s="21" t="s">
        <v>1467</v>
      </c>
      <c r="D1" s="21" t="s">
        <v>271</v>
      </c>
      <c r="E1" s="21" t="s">
        <v>272</v>
      </c>
      <c r="F1" s="21" t="s">
        <v>273</v>
      </c>
      <c r="G1" s="21" t="s">
        <v>274</v>
      </c>
      <c r="H1" s="21" t="s">
        <v>1485</v>
      </c>
      <c r="I1" s="22" t="s">
        <v>158</v>
      </c>
      <c r="J1" s="23" t="s">
        <v>159</v>
      </c>
      <c r="K1" s="23" t="s">
        <v>1482</v>
      </c>
      <c r="L1" s="22" t="s">
        <v>11</v>
      </c>
      <c r="M1" s="22" t="s">
        <v>160</v>
      </c>
      <c r="N1" s="22" t="s">
        <v>13</v>
      </c>
      <c r="O1" s="22" t="s">
        <v>161</v>
      </c>
      <c r="P1" s="21" t="s">
        <v>14</v>
      </c>
      <c r="Q1" s="22" t="s">
        <v>162</v>
      </c>
      <c r="R1" s="24" t="s">
        <v>163</v>
      </c>
      <c r="S1" s="24" t="s">
        <v>164</v>
      </c>
      <c r="T1" s="24" t="s">
        <v>165</v>
      </c>
      <c r="U1" s="24" t="s">
        <v>166</v>
      </c>
      <c r="V1" s="24" t="s">
        <v>167</v>
      </c>
      <c r="W1" s="24" t="s">
        <v>168</v>
      </c>
      <c r="X1" s="25" t="s">
        <v>169</v>
      </c>
      <c r="Y1" s="25" t="s">
        <v>170</v>
      </c>
      <c r="Z1" s="25" t="s">
        <v>171</v>
      </c>
      <c r="AA1" s="25" t="s">
        <v>172</v>
      </c>
      <c r="AB1" s="25" t="s">
        <v>173</v>
      </c>
      <c r="AC1" s="25" t="s">
        <v>174</v>
      </c>
      <c r="AD1" s="25" t="s">
        <v>175</v>
      </c>
      <c r="AE1" s="25" t="s">
        <v>176</v>
      </c>
      <c r="AF1" s="22" t="s">
        <v>177</v>
      </c>
      <c r="AG1" s="26" t="s">
        <v>30</v>
      </c>
      <c r="AH1" s="26" t="s">
        <v>178</v>
      </c>
      <c r="AI1" s="26" t="s">
        <v>179</v>
      </c>
      <c r="AJ1" s="26" t="s">
        <v>59</v>
      </c>
      <c r="AK1" s="26" t="s">
        <v>68</v>
      </c>
      <c r="AL1" s="27" t="s">
        <v>180</v>
      </c>
      <c r="AM1" s="28" t="s">
        <v>181</v>
      </c>
      <c r="AN1" s="29" t="s">
        <v>182</v>
      </c>
      <c r="AO1" s="29" t="s">
        <v>183</v>
      </c>
      <c r="AP1" s="29" t="s">
        <v>184</v>
      </c>
      <c r="AQ1" s="29" t="s">
        <v>185</v>
      </c>
      <c r="AR1" s="29" t="s">
        <v>186</v>
      </c>
      <c r="AS1" s="29" t="s">
        <v>187</v>
      </c>
      <c r="AT1" s="29" t="s">
        <v>188</v>
      </c>
      <c r="AU1" s="29" t="s">
        <v>189</v>
      </c>
      <c r="AV1" s="30" t="s">
        <v>190</v>
      </c>
      <c r="AW1" s="26" t="s">
        <v>191</v>
      </c>
      <c r="AX1" s="26" t="s">
        <v>192</v>
      </c>
      <c r="AY1" s="26" t="s">
        <v>193</v>
      </c>
    </row>
    <row r="2" spans="1:51">
      <c r="A2" s="31" t="s">
        <v>221</v>
      </c>
      <c r="B2" s="32" t="s">
        <v>195</v>
      </c>
      <c r="C2" s="32" t="b">
        <v>0</v>
      </c>
      <c r="D2" s="32" t="s">
        <v>473</v>
      </c>
      <c r="E2" s="32" t="s">
        <v>890</v>
      </c>
      <c r="F2" s="32" t="s">
        <v>0</v>
      </c>
      <c r="G2" s="32" t="s">
        <v>81</v>
      </c>
      <c r="H2" s="32" t="s">
        <v>474</v>
      </c>
      <c r="I2" s="33" t="s">
        <v>1468</v>
      </c>
      <c r="J2" s="33" t="s">
        <v>222</v>
      </c>
      <c r="K2" s="33"/>
      <c r="L2" s="34" t="s">
        <v>24</v>
      </c>
      <c r="M2" s="34" t="s">
        <v>37</v>
      </c>
      <c r="N2" s="6" t="s">
        <v>0</v>
      </c>
      <c r="O2" s="6"/>
      <c r="P2" s="36" t="s">
        <v>49</v>
      </c>
      <c r="Q2" s="6" t="s">
        <v>28</v>
      </c>
      <c r="R2" s="34">
        <v>85</v>
      </c>
      <c r="S2" s="34"/>
      <c r="T2" s="34" t="s">
        <v>90</v>
      </c>
      <c r="U2" s="37">
        <v>42856</v>
      </c>
      <c r="V2" s="37">
        <v>42948</v>
      </c>
      <c r="W2" s="38">
        <f>DATEDIF([1]!Table1[[#This Row],[Start Date*]],[1]!Table1[[#This Row],[End Date*]],"d")</f>
        <v>92</v>
      </c>
      <c r="X2" s="39">
        <f>SUM([1]!Table1[[#This Row],[DB]:[EH]])</f>
        <v>0</v>
      </c>
      <c r="Y2" s="34"/>
      <c r="Z2" s="34"/>
      <c r="AC2" s="34"/>
      <c r="AE2" s="34"/>
      <c r="AF2" s="40"/>
      <c r="AG2" s="34"/>
      <c r="AH2" s="34"/>
      <c r="AI2" s="34"/>
      <c r="AJ2" s="34"/>
      <c r="AK2" s="34"/>
      <c r="AL2" s="52">
        <f>SUBTOTAL(9,[1]!Table1[[#This Row],[Online Learning]:[Other]])</f>
        <v>0</v>
      </c>
      <c r="AM2" s="42"/>
      <c r="AN2" s="43"/>
      <c r="AO2" s="44"/>
      <c r="AP2" s="44"/>
      <c r="AQ2" s="44"/>
      <c r="AR2" s="44"/>
      <c r="AS2" s="44"/>
      <c r="AT2" s="51"/>
      <c r="AU2" s="44"/>
      <c r="AV2" s="45">
        <f>SUM([1]!Table1[[#This Row],[*Learning Model (Daniel)]:[Other2]])</f>
        <v>0</v>
      </c>
      <c r="AW2" s="34"/>
      <c r="AX2" s="34"/>
      <c r="AY2" s="34"/>
    </row>
    <row r="3" spans="1:51">
      <c r="A3" s="31" t="s">
        <v>1487</v>
      </c>
      <c r="B3" s="32" t="s">
        <v>195</v>
      </c>
      <c r="C3" s="32" t="b">
        <v>0</v>
      </c>
      <c r="D3" s="32" t="s">
        <v>1486</v>
      </c>
      <c r="E3" s="32" t="s">
        <v>890</v>
      </c>
      <c r="F3" s="32" t="s">
        <v>891</v>
      </c>
      <c r="G3" s="32"/>
      <c r="H3" s="65" t="s">
        <v>1488</v>
      </c>
      <c r="I3" s="33"/>
      <c r="J3" s="33"/>
      <c r="K3" s="33"/>
      <c r="L3" s="34"/>
      <c r="M3" s="6"/>
      <c r="N3" s="6"/>
      <c r="O3" s="6"/>
      <c r="P3" s="36"/>
      <c r="Q3" s="34"/>
      <c r="R3" s="34"/>
      <c r="S3" s="34"/>
      <c r="T3" s="37"/>
      <c r="U3" s="37"/>
      <c r="V3" s="38">
        <f>DATEDIF(Table1[[#This Row],[Sponsor*]],Table1[[#This Row],[Start Date*]],"d")</f>
        <v>0</v>
      </c>
      <c r="W3" s="62">
        <f>DATEDIF([1]!Table1[[#This Row],[Start Date*]],[1]!Table1[[#This Row],[End Date*]],"d")</f>
        <v>31</v>
      </c>
      <c r="X3" s="39"/>
      <c r="Y3" s="34"/>
      <c r="Z3" s="34"/>
      <c r="AC3" s="34"/>
      <c r="AE3" s="34"/>
      <c r="AF3" s="40"/>
      <c r="AG3" s="34"/>
      <c r="AH3" s="34"/>
      <c r="AI3" s="34"/>
      <c r="AJ3" s="34"/>
      <c r="AK3" s="34">
        <f>SUBTOTAL(9,Table1[[#This Row],[Up Next Priority]:[Campus]])</f>
        <v>0</v>
      </c>
      <c r="AL3" s="52"/>
      <c r="AM3" s="42"/>
      <c r="AN3" s="43"/>
      <c r="AO3" s="44"/>
      <c r="AP3" s="44"/>
      <c r="AQ3" s="44"/>
      <c r="AR3" s="44"/>
      <c r="AS3" s="51"/>
      <c r="AT3" s="44"/>
      <c r="AU3" s="66">
        <f>SUM(Table1[[#This Row],[Org Impact Score]:[Tools]])</f>
        <v>0</v>
      </c>
      <c r="AV3" s="45"/>
      <c r="AW3" s="34"/>
      <c r="AX3" s="34"/>
      <c r="AY3" s="34"/>
    </row>
    <row r="4" spans="1:51">
      <c r="A4" s="31" t="s">
        <v>1156</v>
      </c>
      <c r="B4" s="32" t="s">
        <v>195</v>
      </c>
      <c r="C4" s="32" t="b">
        <v>0</v>
      </c>
      <c r="D4" s="32" t="s">
        <v>1155</v>
      </c>
      <c r="E4" s="32" t="s">
        <v>1117</v>
      </c>
      <c r="F4" s="32" t="s">
        <v>892</v>
      </c>
      <c r="G4" s="32"/>
      <c r="H4" s="65" t="s">
        <v>1157</v>
      </c>
      <c r="I4" s="33"/>
      <c r="J4" s="33"/>
      <c r="K4" s="33"/>
      <c r="L4" s="34"/>
      <c r="M4" s="6"/>
      <c r="N4" s="6"/>
      <c r="O4" s="6"/>
      <c r="P4" s="36"/>
      <c r="Q4" s="34"/>
      <c r="R4" s="34"/>
      <c r="S4" s="34"/>
      <c r="T4" s="37"/>
      <c r="U4" s="37"/>
      <c r="V4" s="38">
        <f>DATEDIF(Table1[[#This Row],[Sponsor*]],Table1[[#This Row],[Start Date*]],"d")</f>
        <v>0</v>
      </c>
      <c r="W4" s="62">
        <f>DATEDIF([1]!Table1[[#This Row],[Start Date*]],[1]!Table1[[#This Row],[End Date*]],"d")</f>
        <v>31</v>
      </c>
      <c r="X4" s="39"/>
      <c r="Y4" s="34"/>
      <c r="Z4" s="34"/>
      <c r="AC4" s="34"/>
      <c r="AE4" s="34"/>
      <c r="AF4" s="40"/>
      <c r="AG4" s="34"/>
      <c r="AH4" s="34"/>
      <c r="AI4" s="34"/>
      <c r="AJ4" s="34"/>
      <c r="AK4" s="34">
        <f>SUBTOTAL(9,Table1[[#This Row],[Up Next Priority]:[Campus]])</f>
        <v>0</v>
      </c>
      <c r="AL4" s="52"/>
      <c r="AM4" s="42"/>
      <c r="AN4" s="43"/>
      <c r="AO4" s="44"/>
      <c r="AP4" s="44"/>
      <c r="AQ4" s="44"/>
      <c r="AR4" s="44"/>
      <c r="AS4" s="51"/>
      <c r="AT4" s="44"/>
      <c r="AU4" s="66">
        <f>SUM(Table1[[#This Row],[Org Impact Score]:[Tools]])</f>
        <v>0</v>
      </c>
      <c r="AV4" s="45"/>
      <c r="AW4" s="34"/>
      <c r="AX4" s="34"/>
      <c r="AY4" s="34"/>
    </row>
    <row r="5" spans="1:51">
      <c r="A5" s="31" t="s">
        <v>995</v>
      </c>
      <c r="B5" s="32" t="s">
        <v>195</v>
      </c>
      <c r="C5" s="32" t="b">
        <v>0</v>
      </c>
      <c r="D5" s="32" t="s">
        <v>1138</v>
      </c>
      <c r="E5" s="32" t="s">
        <v>1117</v>
      </c>
      <c r="F5" s="32" t="s">
        <v>891</v>
      </c>
      <c r="G5" s="32" t="s">
        <v>1125</v>
      </c>
      <c r="H5" s="65" t="s">
        <v>1139</v>
      </c>
      <c r="I5" s="33"/>
      <c r="J5" s="33"/>
      <c r="K5" s="33"/>
      <c r="L5" s="34"/>
      <c r="M5" s="6"/>
      <c r="N5" s="6"/>
      <c r="O5" s="6"/>
      <c r="P5" s="36"/>
      <c r="Q5" s="34"/>
      <c r="R5" s="34"/>
      <c r="S5" s="34"/>
      <c r="T5" s="37"/>
      <c r="U5" s="37"/>
      <c r="V5" s="38">
        <f>DATEDIF(Table1[[#This Row],[Sponsor*]],Table1[[#This Row],[Start Date*]],"d")</f>
        <v>0</v>
      </c>
      <c r="W5" s="62">
        <f>DATEDIF([1]!Table1[[#This Row],[Start Date*]],[1]!Table1[[#This Row],[End Date*]],"d")</f>
        <v>31</v>
      </c>
      <c r="X5" s="39"/>
      <c r="Y5" s="34"/>
      <c r="Z5" s="34"/>
      <c r="AC5" s="34"/>
      <c r="AE5" s="34"/>
      <c r="AF5" s="40"/>
      <c r="AG5" s="34"/>
      <c r="AH5" s="34"/>
      <c r="AI5" s="34"/>
      <c r="AJ5" s="34"/>
      <c r="AK5" s="34">
        <f>SUBTOTAL(9,Table1[[#This Row],[Up Next Priority]:[Campus]])</f>
        <v>0</v>
      </c>
      <c r="AL5" s="52"/>
      <c r="AM5" s="42"/>
      <c r="AN5" s="43"/>
      <c r="AO5" s="44"/>
      <c r="AP5" s="44"/>
      <c r="AQ5" s="44"/>
      <c r="AR5" s="44"/>
      <c r="AS5" s="51"/>
      <c r="AT5" s="44"/>
      <c r="AU5" s="66">
        <f>SUM(Table1[[#This Row],[Org Impact Score]:[Tools]])</f>
        <v>0</v>
      </c>
      <c r="AV5" s="45"/>
      <c r="AW5" s="34"/>
      <c r="AX5" s="34"/>
      <c r="AY5" s="34"/>
    </row>
    <row r="6" spans="1:51">
      <c r="A6" s="31" t="s">
        <v>975</v>
      </c>
      <c r="B6" s="32" t="s">
        <v>195</v>
      </c>
      <c r="C6" s="32" t="b">
        <v>1</v>
      </c>
      <c r="D6" s="32" t="s">
        <v>1385</v>
      </c>
      <c r="E6" s="32" t="s">
        <v>1117</v>
      </c>
      <c r="F6" s="32" t="s">
        <v>1386</v>
      </c>
      <c r="G6" s="32" t="s">
        <v>1125</v>
      </c>
      <c r="H6" s="65" t="s">
        <v>1387</v>
      </c>
      <c r="I6" s="33"/>
      <c r="J6" s="33"/>
      <c r="K6" s="33"/>
      <c r="L6" s="34"/>
      <c r="M6" s="6"/>
      <c r="N6" s="6"/>
      <c r="O6" s="6"/>
      <c r="P6" s="36"/>
      <c r="Q6" s="34"/>
      <c r="R6" s="34"/>
      <c r="S6" s="34"/>
      <c r="T6" s="37"/>
      <c r="U6" s="37"/>
      <c r="V6" s="38">
        <f>DATEDIF(Table1[[#This Row],[Sponsor*]],Table1[[#This Row],[Start Date*]],"d")</f>
        <v>0</v>
      </c>
      <c r="W6" s="62">
        <f>DATEDIF([1]!Table1[[#This Row],[Start Date*]],[1]!Table1[[#This Row],[End Date*]],"d")</f>
        <v>31</v>
      </c>
      <c r="X6" s="39"/>
      <c r="Y6" s="34"/>
      <c r="Z6" s="34"/>
      <c r="AC6" s="34"/>
      <c r="AE6" s="34"/>
      <c r="AF6" s="40"/>
      <c r="AG6" s="34"/>
      <c r="AH6" s="34"/>
      <c r="AI6" s="34"/>
      <c r="AJ6" s="34"/>
      <c r="AK6" s="34">
        <f>SUBTOTAL(9,Table1[[#This Row],[Up Next Priority]:[Campus]])</f>
        <v>0</v>
      </c>
      <c r="AL6" s="52"/>
      <c r="AM6" s="42"/>
      <c r="AN6" s="43"/>
      <c r="AO6" s="44"/>
      <c r="AP6" s="44"/>
      <c r="AQ6" s="44"/>
      <c r="AR6" s="44"/>
      <c r="AS6" s="51"/>
      <c r="AT6" s="44"/>
      <c r="AU6" s="66">
        <f>SUM(Table1[[#This Row],[Org Impact Score]:[Tools]])</f>
        <v>0</v>
      </c>
      <c r="AV6" s="45"/>
      <c r="AW6" s="34"/>
      <c r="AX6" s="34"/>
      <c r="AY6" s="34"/>
    </row>
    <row r="7" spans="1:51">
      <c r="A7" s="31" t="s">
        <v>931</v>
      </c>
      <c r="B7" s="32" t="s">
        <v>195</v>
      </c>
      <c r="C7" s="32" t="b">
        <v>0</v>
      </c>
      <c r="D7" s="32" t="s">
        <v>930</v>
      </c>
      <c r="E7" s="32" t="s">
        <v>1117</v>
      </c>
      <c r="F7" s="32" t="s">
        <v>1118</v>
      </c>
      <c r="G7" s="32" t="s">
        <v>1126</v>
      </c>
      <c r="H7" s="65" t="s">
        <v>932</v>
      </c>
      <c r="I7" s="33"/>
      <c r="J7" s="33"/>
      <c r="K7" s="33"/>
      <c r="L7" s="34"/>
      <c r="M7" s="6"/>
      <c r="N7" s="6"/>
      <c r="O7" s="6"/>
      <c r="P7" s="36"/>
      <c r="Q7" s="34"/>
      <c r="R7" s="34"/>
      <c r="S7" s="34"/>
      <c r="T7" s="37"/>
      <c r="U7" s="37"/>
      <c r="V7" s="38">
        <f>DATEDIF(Table1[[#This Row],[Sponsor*]],Table1[[#This Row],[Start Date*]],"d")</f>
        <v>0</v>
      </c>
      <c r="W7" s="62">
        <f>DATEDIF([1]!Table1[[#This Row],[Start Date*]],[1]!Table1[[#This Row],[End Date*]],"d")</f>
        <v>181</v>
      </c>
      <c r="X7" s="39"/>
      <c r="Y7" s="34"/>
      <c r="Z7" s="34"/>
      <c r="AC7" s="34"/>
      <c r="AE7" s="34"/>
      <c r="AF7" s="40"/>
      <c r="AG7" s="34"/>
      <c r="AH7" s="34"/>
      <c r="AI7" s="34"/>
      <c r="AJ7" s="34"/>
      <c r="AK7" s="34">
        <f>SUBTOTAL(9,Table1[[#This Row],[Up Next Priority]:[Campus]])</f>
        <v>0</v>
      </c>
      <c r="AL7" s="52"/>
      <c r="AM7" s="42"/>
      <c r="AN7" s="43"/>
      <c r="AO7" s="44"/>
      <c r="AP7" s="44"/>
      <c r="AQ7" s="44"/>
      <c r="AR7" s="44"/>
      <c r="AS7" s="51"/>
      <c r="AT7" s="44"/>
      <c r="AU7" s="66">
        <f>SUM(Table1[[#This Row],[Org Impact Score]:[Tools]])</f>
        <v>0</v>
      </c>
      <c r="AV7" s="45"/>
      <c r="AW7" s="34"/>
      <c r="AX7" s="34"/>
      <c r="AY7" s="34"/>
    </row>
    <row r="8" spans="1:51">
      <c r="A8" s="31" t="s">
        <v>467</v>
      </c>
      <c r="B8" s="32" t="s">
        <v>195</v>
      </c>
      <c r="C8" s="32" t="b">
        <v>0</v>
      </c>
      <c r="D8" s="32" t="s">
        <v>1379</v>
      </c>
      <c r="E8" s="32" t="s">
        <v>890</v>
      </c>
      <c r="F8" s="32" t="s">
        <v>1380</v>
      </c>
      <c r="G8" s="32"/>
      <c r="H8" s="65" t="s">
        <v>1381</v>
      </c>
      <c r="I8" s="33"/>
      <c r="J8" s="33"/>
      <c r="K8" s="33"/>
      <c r="L8" s="34"/>
      <c r="M8" s="6"/>
      <c r="N8" s="6"/>
      <c r="O8" s="6"/>
      <c r="P8" s="36"/>
      <c r="Q8" s="34"/>
      <c r="R8" s="34"/>
      <c r="S8" s="34"/>
      <c r="T8" s="37"/>
      <c r="U8" s="37"/>
      <c r="V8" s="38">
        <f>DATEDIF(Table1[[#This Row],[Sponsor*]],Table1[[#This Row],[Start Date*]],"d")</f>
        <v>0</v>
      </c>
      <c r="W8" s="62">
        <f>DATEDIF([1]!Table1[[#This Row],[Start Date*]],[1]!Table1[[#This Row],[End Date*]],"d")</f>
        <v>89</v>
      </c>
      <c r="X8" s="39"/>
      <c r="Y8" s="34"/>
      <c r="Z8" s="34"/>
      <c r="AC8" s="34"/>
      <c r="AE8" s="34"/>
      <c r="AF8" s="40"/>
      <c r="AG8" s="34"/>
      <c r="AH8" s="34"/>
      <c r="AI8" s="34"/>
      <c r="AJ8" s="34"/>
      <c r="AK8" s="34">
        <f>SUBTOTAL(9,Table1[[#This Row],[Up Next Priority]:[Campus]])</f>
        <v>0</v>
      </c>
      <c r="AL8" s="52"/>
      <c r="AM8" s="42"/>
      <c r="AN8" s="43"/>
      <c r="AO8" s="44"/>
      <c r="AP8" s="44"/>
      <c r="AQ8" s="44"/>
      <c r="AR8" s="44"/>
      <c r="AS8" s="51"/>
      <c r="AT8" s="44"/>
      <c r="AU8" s="66">
        <f>SUM(Table1[[#This Row],[Org Impact Score]:[Tools]])</f>
        <v>0</v>
      </c>
      <c r="AV8" s="45"/>
      <c r="AW8" s="34"/>
      <c r="AX8" s="34"/>
      <c r="AY8" s="34"/>
    </row>
    <row r="9" spans="1:51">
      <c r="A9" s="31" t="s">
        <v>967</v>
      </c>
      <c r="B9" s="32" t="s">
        <v>195</v>
      </c>
      <c r="C9" s="32" t="b">
        <v>0</v>
      </c>
      <c r="D9" s="32" t="s">
        <v>1368</v>
      </c>
      <c r="E9" s="32" t="s">
        <v>890</v>
      </c>
      <c r="F9" s="32" t="s">
        <v>1353</v>
      </c>
      <c r="G9" s="32" t="s">
        <v>76</v>
      </c>
      <c r="H9" s="65" t="s">
        <v>1369</v>
      </c>
      <c r="I9" s="33"/>
      <c r="J9" s="33"/>
      <c r="K9" s="33"/>
      <c r="L9" s="34"/>
      <c r="M9" s="6"/>
      <c r="N9" s="6"/>
      <c r="O9" s="6"/>
      <c r="P9" s="36"/>
      <c r="Q9" s="34"/>
      <c r="R9" s="34"/>
      <c r="S9" s="34"/>
      <c r="T9" s="37"/>
      <c r="U9" s="37"/>
      <c r="V9" s="38">
        <f>DATEDIF(Table1[[#This Row],[Sponsor*]],Table1[[#This Row],[Start Date*]],"d")</f>
        <v>0</v>
      </c>
      <c r="W9" s="62">
        <f>DATEDIF([1]!Table1[[#This Row],[Start Date*]],[1]!Table1[[#This Row],[End Date*]],"d")</f>
        <v>31</v>
      </c>
      <c r="X9" s="39"/>
      <c r="Y9" s="34"/>
      <c r="Z9" s="34"/>
      <c r="AC9" s="34"/>
      <c r="AE9" s="34"/>
      <c r="AF9" s="40"/>
      <c r="AG9" s="34"/>
      <c r="AH9" s="34"/>
      <c r="AI9" s="34"/>
      <c r="AJ9" s="34"/>
      <c r="AK9" s="34">
        <f>SUBTOTAL(9,Table1[[#This Row],[Up Next Priority]:[Campus]])</f>
        <v>0</v>
      </c>
      <c r="AL9" s="52"/>
      <c r="AM9" s="42"/>
      <c r="AN9" s="43"/>
      <c r="AO9" s="44"/>
      <c r="AP9" s="44"/>
      <c r="AQ9" s="44"/>
      <c r="AR9" s="44"/>
      <c r="AS9" s="51"/>
      <c r="AT9" s="44"/>
      <c r="AU9" s="66">
        <f>SUM(Table1[[#This Row],[Org Impact Score]:[Tools]])</f>
        <v>0</v>
      </c>
      <c r="AV9" s="45"/>
      <c r="AW9" s="34"/>
      <c r="AX9" s="34"/>
      <c r="AY9" s="34"/>
    </row>
    <row r="10" spans="1:51">
      <c r="A10" s="31" t="s">
        <v>1463</v>
      </c>
      <c r="B10" s="32" t="s">
        <v>195</v>
      </c>
      <c r="C10" s="32" t="b">
        <v>0</v>
      </c>
      <c r="D10" s="32" t="s">
        <v>1461</v>
      </c>
      <c r="E10" s="32" t="s">
        <v>1117</v>
      </c>
      <c r="F10" s="32" t="s">
        <v>1462</v>
      </c>
      <c r="G10" s="32" t="s">
        <v>1126</v>
      </c>
      <c r="H10" s="65" t="s">
        <v>1464</v>
      </c>
      <c r="I10" s="33"/>
      <c r="J10" s="33"/>
      <c r="K10" s="33"/>
      <c r="L10" s="34"/>
      <c r="M10" s="6"/>
      <c r="N10" s="6"/>
      <c r="O10" s="6"/>
      <c r="P10" s="36"/>
      <c r="Q10" s="34"/>
      <c r="R10" s="34"/>
      <c r="S10" s="34"/>
      <c r="T10" s="37"/>
      <c r="U10" s="37"/>
      <c r="V10" s="38">
        <f>DATEDIF(Table1[[#This Row],[Sponsor*]],Table1[[#This Row],[Start Date*]],"d")</f>
        <v>0</v>
      </c>
      <c r="W10" s="62">
        <f>DATEDIF([1]!Table1[[#This Row],[Start Date*]],[1]!Table1[[#This Row],[End Date*]],"d")</f>
        <v>153</v>
      </c>
      <c r="X10" s="39"/>
      <c r="Y10" s="34"/>
      <c r="Z10" s="34"/>
      <c r="AC10" s="34"/>
      <c r="AE10" s="34"/>
      <c r="AF10" s="40"/>
      <c r="AG10" s="34"/>
      <c r="AH10" s="34"/>
      <c r="AI10" s="34"/>
      <c r="AJ10" s="34"/>
      <c r="AK10" s="34">
        <f>SUBTOTAL(9,Table1[[#This Row],[Up Next Priority]:[Campus]])</f>
        <v>0</v>
      </c>
      <c r="AL10" s="52"/>
      <c r="AM10" s="42"/>
      <c r="AN10" s="43"/>
      <c r="AO10" s="44"/>
      <c r="AP10" s="44"/>
      <c r="AQ10" s="44"/>
      <c r="AR10" s="44"/>
      <c r="AS10" s="51"/>
      <c r="AT10" s="44"/>
      <c r="AU10" s="66">
        <f>SUM(Table1[[#This Row],[Org Impact Score]:[Tools]])</f>
        <v>0</v>
      </c>
      <c r="AV10" s="45"/>
      <c r="AW10" s="34"/>
      <c r="AX10" s="34"/>
      <c r="AY10" s="34"/>
    </row>
    <row r="11" spans="1:51">
      <c r="A11" s="31" t="s">
        <v>1459</v>
      </c>
      <c r="B11" s="32" t="s">
        <v>195</v>
      </c>
      <c r="C11" s="32" t="b">
        <v>0</v>
      </c>
      <c r="D11" s="32" t="s">
        <v>1458</v>
      </c>
      <c r="E11" s="32" t="s">
        <v>1117</v>
      </c>
      <c r="F11" s="32" t="s">
        <v>1437</v>
      </c>
      <c r="G11" s="32" t="s">
        <v>1126</v>
      </c>
      <c r="H11" s="65" t="s">
        <v>1460</v>
      </c>
      <c r="I11" s="33"/>
      <c r="J11" s="33"/>
      <c r="K11" s="33"/>
      <c r="L11" s="34"/>
      <c r="M11" s="6"/>
      <c r="N11" s="6"/>
      <c r="O11" s="6"/>
      <c r="P11" s="36"/>
      <c r="Q11" s="34"/>
      <c r="R11" s="34"/>
      <c r="S11" s="34"/>
      <c r="T11" s="37"/>
      <c r="U11" s="37"/>
      <c r="V11" s="38">
        <f>DATEDIF(Table1[[#This Row],[Sponsor*]],Table1[[#This Row],[Start Date*]],"d")</f>
        <v>0</v>
      </c>
      <c r="W11" s="62">
        <f>DATEDIF([1]!Table1[[#This Row],[Start Date*]],[1]!Table1[[#This Row],[End Date*]],"d")</f>
        <v>181</v>
      </c>
      <c r="X11" s="39"/>
      <c r="Y11" s="34"/>
      <c r="Z11" s="34"/>
      <c r="AC11" s="34"/>
      <c r="AE11" s="34"/>
      <c r="AF11" s="40"/>
      <c r="AG11" s="34"/>
      <c r="AH11" s="34"/>
      <c r="AI11" s="34"/>
      <c r="AJ11" s="34"/>
      <c r="AK11" s="34">
        <f>SUBTOTAL(9,Table1[[#This Row],[Up Next Priority]:[Campus]])</f>
        <v>0</v>
      </c>
      <c r="AL11" s="52"/>
      <c r="AM11" s="42"/>
      <c r="AN11" s="43"/>
      <c r="AO11" s="44"/>
      <c r="AP11" s="44"/>
      <c r="AQ11" s="44"/>
      <c r="AR11" s="44"/>
      <c r="AS11" s="51"/>
      <c r="AT11" s="44"/>
      <c r="AU11" s="66">
        <f>SUM(Table1[[#This Row],[Org Impact Score]:[Tools]])</f>
        <v>0</v>
      </c>
      <c r="AV11" s="45"/>
      <c r="AW11" s="34"/>
      <c r="AX11" s="34"/>
      <c r="AY11" s="34"/>
    </row>
    <row r="12" spans="1:51">
      <c r="A12" s="31" t="s">
        <v>1456</v>
      </c>
      <c r="B12" s="32" t="s">
        <v>195</v>
      </c>
      <c r="C12" s="32" t="b">
        <v>0</v>
      </c>
      <c r="D12" s="32" t="s">
        <v>1455</v>
      </c>
      <c r="E12" s="32" t="s">
        <v>1117</v>
      </c>
      <c r="F12" s="32" t="s">
        <v>1437</v>
      </c>
      <c r="G12" s="32" t="s">
        <v>1126</v>
      </c>
      <c r="H12" s="65" t="s">
        <v>1457</v>
      </c>
      <c r="I12" s="33"/>
      <c r="J12" s="33"/>
      <c r="K12" s="33"/>
      <c r="L12" s="34"/>
      <c r="M12" s="6"/>
      <c r="N12" s="6"/>
      <c r="O12" s="6"/>
      <c r="P12" s="36"/>
      <c r="Q12" s="34"/>
      <c r="R12" s="34"/>
      <c r="S12" s="34"/>
      <c r="T12" s="37"/>
      <c r="U12" s="37"/>
      <c r="V12" s="38">
        <f>DATEDIF(Table1[[#This Row],[Sponsor*]],Table1[[#This Row],[Start Date*]],"d")</f>
        <v>0</v>
      </c>
      <c r="W12" s="62">
        <f>DATEDIF([1]!Table1[[#This Row],[Start Date*]],[1]!Table1[[#This Row],[End Date*]],"d")</f>
        <v>91</v>
      </c>
      <c r="X12" s="39"/>
      <c r="Y12" s="34"/>
      <c r="Z12" s="34"/>
      <c r="AC12" s="34"/>
      <c r="AE12" s="34"/>
      <c r="AF12" s="40"/>
      <c r="AG12" s="34"/>
      <c r="AH12" s="34"/>
      <c r="AI12" s="34"/>
      <c r="AJ12" s="34"/>
      <c r="AK12" s="34">
        <f>SUBTOTAL(9,Table1[[#This Row],[Up Next Priority]:[Campus]])</f>
        <v>0</v>
      </c>
      <c r="AL12" s="52"/>
      <c r="AM12" s="42"/>
      <c r="AN12" s="43"/>
      <c r="AO12" s="44"/>
      <c r="AP12" s="44"/>
      <c r="AQ12" s="44"/>
      <c r="AR12" s="44"/>
      <c r="AS12" s="51"/>
      <c r="AT12" s="44"/>
      <c r="AU12" s="66">
        <f>SUM(Table1[[#This Row],[Org Impact Score]:[Tools]])</f>
        <v>0</v>
      </c>
      <c r="AV12" s="45"/>
      <c r="AW12" s="34"/>
      <c r="AX12" s="34"/>
      <c r="AY12" s="34"/>
    </row>
    <row r="13" spans="1:51">
      <c r="A13" s="31" t="s">
        <v>1453</v>
      </c>
      <c r="B13" s="32" t="s">
        <v>195</v>
      </c>
      <c r="C13" s="32" t="b">
        <v>0</v>
      </c>
      <c r="D13" s="32" t="s">
        <v>1452</v>
      </c>
      <c r="E13" s="32" t="s">
        <v>1117</v>
      </c>
      <c r="F13" s="32" t="s">
        <v>1437</v>
      </c>
      <c r="G13" s="32" t="s">
        <v>1126</v>
      </c>
      <c r="H13" s="65" t="s">
        <v>1454</v>
      </c>
      <c r="I13" s="33"/>
      <c r="J13" s="33"/>
      <c r="K13" s="33"/>
      <c r="L13" s="34"/>
      <c r="M13" s="6"/>
      <c r="N13" s="6"/>
      <c r="O13" s="6"/>
      <c r="P13" s="36"/>
      <c r="Q13" s="34"/>
      <c r="R13" s="34"/>
      <c r="S13" s="34"/>
      <c r="T13" s="37"/>
      <c r="U13" s="37"/>
      <c r="V13" s="38">
        <f>DATEDIF(Table1[[#This Row],[Sponsor*]],Table1[[#This Row],[Start Date*]],"d")</f>
        <v>0</v>
      </c>
      <c r="W13" s="62">
        <f>DATEDIF([1]!Table1[[#This Row],[Start Date*]],[1]!Table1[[#This Row],[End Date*]],"d")</f>
        <v>31</v>
      </c>
      <c r="X13" s="39"/>
      <c r="Y13" s="34"/>
      <c r="Z13" s="34"/>
      <c r="AC13" s="34"/>
      <c r="AE13" s="34"/>
      <c r="AF13" s="40"/>
      <c r="AG13" s="34"/>
      <c r="AH13" s="34"/>
      <c r="AI13" s="34"/>
      <c r="AJ13" s="34"/>
      <c r="AK13" s="34">
        <f>SUBTOTAL(9,Table1[[#This Row],[Up Next Priority]:[Campus]])</f>
        <v>0</v>
      </c>
      <c r="AL13" s="52"/>
      <c r="AM13" s="42"/>
      <c r="AN13" s="43"/>
      <c r="AO13" s="44"/>
      <c r="AP13" s="44"/>
      <c r="AQ13" s="44"/>
      <c r="AR13" s="44"/>
      <c r="AS13" s="51"/>
      <c r="AT13" s="44"/>
      <c r="AU13" s="66">
        <f>SUM(Table1[[#This Row],[Org Impact Score]:[Tools]])</f>
        <v>0</v>
      </c>
      <c r="AV13" s="45"/>
      <c r="AW13" s="34"/>
      <c r="AX13" s="34"/>
      <c r="AY13" s="34"/>
    </row>
    <row r="14" spans="1:51">
      <c r="A14" s="31" t="s">
        <v>1450</v>
      </c>
      <c r="B14" s="32" t="s">
        <v>195</v>
      </c>
      <c r="C14" s="32" t="b">
        <v>0</v>
      </c>
      <c r="D14" s="32" t="s">
        <v>1449</v>
      </c>
      <c r="E14" s="32" t="s">
        <v>1117</v>
      </c>
      <c r="F14" s="32" t="s">
        <v>1437</v>
      </c>
      <c r="G14" s="32" t="s">
        <v>1465</v>
      </c>
      <c r="H14" s="65" t="s">
        <v>1451</v>
      </c>
      <c r="I14" s="33"/>
      <c r="J14" s="33"/>
      <c r="K14" s="33"/>
      <c r="L14" s="34"/>
      <c r="M14" s="6"/>
      <c r="N14" s="6"/>
      <c r="O14" s="6"/>
      <c r="P14" s="36"/>
      <c r="Q14" s="34"/>
      <c r="R14" s="34"/>
      <c r="S14" s="34"/>
      <c r="T14" s="37"/>
      <c r="U14" s="37"/>
      <c r="V14" s="38">
        <f>DATEDIF(Table1[[#This Row],[Sponsor*]],Table1[[#This Row],[Start Date*]],"d")</f>
        <v>0</v>
      </c>
      <c r="W14" s="62">
        <f>DATEDIF([1]!Table1[[#This Row],[Start Date*]],[1]!Table1[[#This Row],[End Date*]],"d")</f>
        <v>153</v>
      </c>
      <c r="X14" s="39"/>
      <c r="Y14" s="34"/>
      <c r="Z14" s="34"/>
      <c r="AC14" s="34"/>
      <c r="AE14" s="34"/>
      <c r="AF14" s="40"/>
      <c r="AG14" s="34"/>
      <c r="AH14" s="34"/>
      <c r="AI14" s="34"/>
      <c r="AJ14" s="34"/>
      <c r="AK14" s="34">
        <f>SUBTOTAL(9,Table1[[#This Row],[Up Next Priority]:[Campus]])</f>
        <v>0</v>
      </c>
      <c r="AL14" s="52"/>
      <c r="AM14" s="42"/>
      <c r="AN14" s="43"/>
      <c r="AO14" s="44"/>
      <c r="AP14" s="44"/>
      <c r="AQ14" s="44"/>
      <c r="AR14" s="44"/>
      <c r="AS14" s="51"/>
      <c r="AT14" s="44"/>
      <c r="AU14" s="66">
        <f>SUM(Table1[[#This Row],[Org Impact Score]:[Tools]])</f>
        <v>0</v>
      </c>
      <c r="AV14" s="45"/>
      <c r="AW14" s="34"/>
      <c r="AX14" s="34"/>
      <c r="AY14" s="34"/>
    </row>
    <row r="15" spans="1:51">
      <c r="A15" s="31" t="s">
        <v>1447</v>
      </c>
      <c r="B15" s="32" t="s">
        <v>195</v>
      </c>
      <c r="C15" s="32" t="b">
        <v>0</v>
      </c>
      <c r="D15" s="32" t="s">
        <v>1446</v>
      </c>
      <c r="E15" s="32" t="s">
        <v>1117</v>
      </c>
      <c r="F15" s="32" t="s">
        <v>1437</v>
      </c>
      <c r="G15" s="32" t="s">
        <v>1126</v>
      </c>
      <c r="H15" s="65" t="s">
        <v>1448</v>
      </c>
      <c r="I15" s="33"/>
      <c r="J15" s="33"/>
      <c r="K15" s="33"/>
      <c r="L15" s="34"/>
      <c r="M15" s="6"/>
      <c r="N15" s="6"/>
      <c r="O15" s="6"/>
      <c r="P15" s="36"/>
      <c r="Q15" s="34"/>
      <c r="R15" s="34"/>
      <c r="S15" s="34"/>
      <c r="T15" s="37"/>
      <c r="U15" s="37"/>
      <c r="V15" s="38">
        <f>DATEDIF(Table1[[#This Row],[Sponsor*]],Table1[[#This Row],[Start Date*]],"d")</f>
        <v>0</v>
      </c>
      <c r="W15" s="62">
        <f>DATEDIF([1]!Table1[[#This Row],[Start Date*]],[1]!Table1[[#This Row],[End Date*]],"d")</f>
        <v>92</v>
      </c>
      <c r="X15" s="39"/>
      <c r="Y15" s="34"/>
      <c r="Z15" s="34"/>
      <c r="AC15" s="34"/>
      <c r="AE15" s="34"/>
      <c r="AF15" s="40"/>
      <c r="AG15" s="34"/>
      <c r="AH15" s="34"/>
      <c r="AI15" s="34"/>
      <c r="AJ15" s="34"/>
      <c r="AK15" s="34">
        <f>SUBTOTAL(9,Table1[[#This Row],[Up Next Priority]:[Campus]])</f>
        <v>0</v>
      </c>
      <c r="AL15" s="52"/>
      <c r="AM15" s="42"/>
      <c r="AN15" s="43"/>
      <c r="AO15" s="44"/>
      <c r="AP15" s="44"/>
      <c r="AQ15" s="44"/>
      <c r="AR15" s="44"/>
      <c r="AS15" s="51"/>
      <c r="AT15" s="44"/>
      <c r="AU15" s="66">
        <f>SUM(Table1[[#This Row],[Org Impact Score]:[Tools]])</f>
        <v>0</v>
      </c>
      <c r="AV15" s="45"/>
      <c r="AW15" s="34"/>
      <c r="AX15" s="34"/>
      <c r="AY15" s="34"/>
    </row>
    <row r="16" spans="1:51">
      <c r="A16" s="31" t="s">
        <v>1444</v>
      </c>
      <c r="B16" s="32" t="s">
        <v>195</v>
      </c>
      <c r="C16" s="32" t="b">
        <v>0</v>
      </c>
      <c r="D16" s="32" t="s">
        <v>1443</v>
      </c>
      <c r="E16" s="32" t="s">
        <v>1117</v>
      </c>
      <c r="F16" s="32" t="s">
        <v>1437</v>
      </c>
      <c r="G16" s="32" t="s">
        <v>1126</v>
      </c>
      <c r="H16" s="65" t="s">
        <v>1445</v>
      </c>
      <c r="I16" s="33"/>
      <c r="J16" s="33"/>
      <c r="K16" s="33"/>
      <c r="L16" s="34"/>
      <c r="M16" s="6"/>
      <c r="N16" s="6"/>
      <c r="O16" s="6"/>
      <c r="P16" s="36"/>
      <c r="Q16" s="34"/>
      <c r="R16" s="34"/>
      <c r="S16" s="34"/>
      <c r="T16" s="37"/>
      <c r="U16" s="37"/>
      <c r="V16" s="38">
        <f>DATEDIF(Table1[[#This Row],[Sponsor*]],Table1[[#This Row],[Start Date*]],"d")</f>
        <v>0</v>
      </c>
      <c r="W16" s="62">
        <f>DATEDIF([1]!Table1[[#This Row],[Start Date*]],[1]!Table1[[#This Row],[End Date*]],"d")</f>
        <v>31</v>
      </c>
      <c r="X16" s="39"/>
      <c r="Y16" s="34"/>
      <c r="Z16" s="34"/>
      <c r="AC16" s="34"/>
      <c r="AE16" s="34"/>
      <c r="AF16" s="40"/>
      <c r="AG16" s="34"/>
      <c r="AH16" s="34"/>
      <c r="AI16" s="34"/>
      <c r="AJ16" s="34"/>
      <c r="AK16" s="34">
        <f>SUBTOTAL(9,Table1[[#This Row],[Up Next Priority]:[Campus]])</f>
        <v>0</v>
      </c>
      <c r="AL16" s="52"/>
      <c r="AM16" s="42"/>
      <c r="AN16" s="43"/>
      <c r="AO16" s="44"/>
      <c r="AP16" s="44"/>
      <c r="AQ16" s="44"/>
      <c r="AR16" s="44"/>
      <c r="AS16" s="51"/>
      <c r="AT16" s="44"/>
      <c r="AU16" s="66">
        <f>SUM(Table1[[#This Row],[Org Impact Score]:[Tools]])</f>
        <v>0</v>
      </c>
      <c r="AV16" s="45"/>
      <c r="AW16" s="34"/>
      <c r="AX16" s="34"/>
      <c r="AY16" s="34"/>
    </row>
    <row r="17" spans="1:51">
      <c r="A17" s="31" t="s">
        <v>1441</v>
      </c>
      <c r="B17" s="32" t="s">
        <v>195</v>
      </c>
      <c r="C17" s="32" t="b">
        <v>0</v>
      </c>
      <c r="D17" s="32" t="s">
        <v>1440</v>
      </c>
      <c r="E17" s="32" t="s">
        <v>1117</v>
      </c>
      <c r="F17" s="32" t="s">
        <v>1437</v>
      </c>
      <c r="G17" s="32" t="s">
        <v>1126</v>
      </c>
      <c r="H17" s="65" t="s">
        <v>1442</v>
      </c>
      <c r="I17" s="33"/>
      <c r="J17" s="33"/>
      <c r="K17" s="33"/>
      <c r="L17" s="34"/>
      <c r="M17" s="6"/>
      <c r="N17" s="6"/>
      <c r="O17" s="6"/>
      <c r="P17" s="36"/>
      <c r="Q17" s="34"/>
      <c r="R17" s="34"/>
      <c r="S17" s="34"/>
      <c r="T17" s="37"/>
      <c r="U17" s="37"/>
      <c r="V17" s="38">
        <f>DATEDIF(Table1[[#This Row],[Sponsor*]],Table1[[#This Row],[Start Date*]],"d")</f>
        <v>0</v>
      </c>
      <c r="W17" s="62">
        <f>DATEDIF([1]!Table1[[#This Row],[Start Date*]],[1]!Table1[[#This Row],[End Date*]],"d")</f>
        <v>61</v>
      </c>
      <c r="X17" s="39"/>
      <c r="Y17" s="34"/>
      <c r="Z17" s="34"/>
      <c r="AC17" s="34"/>
      <c r="AE17" s="34"/>
      <c r="AF17" s="40"/>
      <c r="AG17" s="34"/>
      <c r="AH17" s="34"/>
      <c r="AI17" s="34"/>
      <c r="AJ17" s="34"/>
      <c r="AK17" s="34">
        <f>SUBTOTAL(9,Table1[[#This Row],[Up Next Priority]:[Campus]])</f>
        <v>0</v>
      </c>
      <c r="AL17" s="52"/>
      <c r="AM17" s="42"/>
      <c r="AN17" s="43"/>
      <c r="AO17" s="44"/>
      <c r="AP17" s="44"/>
      <c r="AQ17" s="44"/>
      <c r="AR17" s="44"/>
      <c r="AS17" s="51"/>
      <c r="AT17" s="44"/>
      <c r="AU17" s="66">
        <f>SUM(Table1[[#This Row],[Org Impact Score]:[Tools]])</f>
        <v>0</v>
      </c>
      <c r="AV17" s="45"/>
      <c r="AW17" s="34"/>
      <c r="AX17" s="34"/>
      <c r="AY17" s="34"/>
    </row>
    <row r="18" spans="1:51">
      <c r="A18" s="31" t="s">
        <v>1438</v>
      </c>
      <c r="B18" s="32" t="s">
        <v>195</v>
      </c>
      <c r="C18" s="32" t="b">
        <v>0</v>
      </c>
      <c r="D18" s="32" t="s">
        <v>1436</v>
      </c>
      <c r="E18" s="32" t="s">
        <v>1117</v>
      </c>
      <c r="F18" s="32" t="s">
        <v>1437</v>
      </c>
      <c r="G18" s="32" t="s">
        <v>1126</v>
      </c>
      <c r="H18" s="65" t="s">
        <v>1439</v>
      </c>
      <c r="I18" s="33"/>
      <c r="J18" s="33"/>
      <c r="K18" s="33"/>
      <c r="L18" s="34"/>
      <c r="M18" s="6"/>
      <c r="N18" s="6"/>
      <c r="O18" s="6"/>
      <c r="P18" s="36"/>
      <c r="Q18" s="34"/>
      <c r="R18" s="34"/>
      <c r="S18" s="34"/>
      <c r="T18" s="37"/>
      <c r="U18" s="37"/>
      <c r="V18" s="38">
        <f>DATEDIF(Table1[[#This Row],[Sponsor*]],Table1[[#This Row],[Start Date*]],"d")</f>
        <v>0</v>
      </c>
      <c r="W18" s="62">
        <f>DATEDIF([1]!Table1[[#This Row],[Start Date*]],[1]!Table1[[#This Row],[End Date*]],"d")</f>
        <v>304</v>
      </c>
      <c r="X18" s="39"/>
      <c r="Y18" s="34"/>
      <c r="Z18" s="34"/>
      <c r="AC18" s="34"/>
      <c r="AE18" s="34"/>
      <c r="AF18" s="40"/>
      <c r="AG18" s="34"/>
      <c r="AH18" s="34"/>
      <c r="AI18" s="34"/>
      <c r="AJ18" s="34"/>
      <c r="AK18" s="34">
        <f>SUBTOTAL(9,Table1[[#This Row],[Up Next Priority]:[Campus]])</f>
        <v>0</v>
      </c>
      <c r="AL18" s="52"/>
      <c r="AM18" s="42"/>
      <c r="AN18" s="43"/>
      <c r="AO18" s="44"/>
      <c r="AP18" s="44"/>
      <c r="AQ18" s="44"/>
      <c r="AR18" s="44"/>
      <c r="AS18" s="51"/>
      <c r="AT18" s="44"/>
      <c r="AU18" s="66">
        <f>SUM(Table1[[#This Row],[Org Impact Score]:[Tools]])</f>
        <v>0</v>
      </c>
      <c r="AV18" s="45"/>
      <c r="AW18" s="34"/>
      <c r="AX18" s="34"/>
      <c r="AY18" s="34"/>
    </row>
    <row r="19" spans="1:51">
      <c r="A19" s="31" t="s">
        <v>1434</v>
      </c>
      <c r="B19" s="32" t="s">
        <v>195</v>
      </c>
      <c r="C19" s="32" t="b">
        <v>0</v>
      </c>
      <c r="D19" s="32" t="s">
        <v>1432</v>
      </c>
      <c r="E19" s="32" t="s">
        <v>1117</v>
      </c>
      <c r="F19" s="32" t="s">
        <v>1433</v>
      </c>
      <c r="G19" s="32" t="s">
        <v>1466</v>
      </c>
      <c r="H19" s="65" t="s">
        <v>1435</v>
      </c>
      <c r="I19" s="33"/>
      <c r="J19" s="33"/>
      <c r="K19" s="33"/>
      <c r="L19" s="34"/>
      <c r="M19" s="6"/>
      <c r="N19" s="6"/>
      <c r="O19" s="6"/>
      <c r="P19" s="36"/>
      <c r="Q19" s="34"/>
      <c r="R19" s="34"/>
      <c r="S19" s="34"/>
      <c r="T19" s="37"/>
      <c r="U19" s="37"/>
      <c r="V19" s="38">
        <f>DATEDIF(Table1[[#This Row],[Sponsor*]],Table1[[#This Row],[Start Date*]],"d")</f>
        <v>0</v>
      </c>
      <c r="W19" s="62">
        <f>DATEDIF([1]!Table1[[#This Row],[Start Date*]],[1]!Table1[[#This Row],[End Date*]],"d")</f>
        <v>31</v>
      </c>
      <c r="X19" s="39"/>
      <c r="Y19" s="34"/>
      <c r="Z19" s="34"/>
      <c r="AC19" s="34"/>
      <c r="AE19" s="34"/>
      <c r="AF19" s="40"/>
      <c r="AG19" s="34"/>
      <c r="AH19" s="34"/>
      <c r="AI19" s="34"/>
      <c r="AJ19" s="34"/>
      <c r="AK19" s="34">
        <f>SUBTOTAL(9,Table1[[#This Row],[Up Next Priority]:[Campus]])</f>
        <v>0</v>
      </c>
      <c r="AL19" s="52"/>
      <c r="AM19" s="42"/>
      <c r="AN19" s="43"/>
      <c r="AO19" s="44"/>
      <c r="AP19" s="44"/>
      <c r="AQ19" s="44"/>
      <c r="AR19" s="44"/>
      <c r="AS19" s="51"/>
      <c r="AT19" s="44"/>
      <c r="AU19" s="66">
        <f>SUM(Table1[[#This Row],[Org Impact Score]:[Tools]])</f>
        <v>0</v>
      </c>
      <c r="AV19" s="45"/>
      <c r="AW19" s="34"/>
      <c r="AX19" s="34"/>
      <c r="AY19" s="34"/>
    </row>
    <row r="20" spans="1:51">
      <c r="A20" s="31" t="s">
        <v>1115</v>
      </c>
      <c r="B20" s="32" t="s">
        <v>195</v>
      </c>
      <c r="C20" s="32" t="b">
        <v>0</v>
      </c>
      <c r="D20" s="32" t="s">
        <v>1114</v>
      </c>
      <c r="E20" s="32" t="s">
        <v>1117</v>
      </c>
      <c r="F20" s="32" t="s">
        <v>1123</v>
      </c>
      <c r="G20" s="32" t="s">
        <v>1135</v>
      </c>
      <c r="H20" s="65" t="s">
        <v>1116</v>
      </c>
      <c r="I20" s="33"/>
      <c r="J20" s="33"/>
      <c r="K20" s="33"/>
      <c r="L20" s="34"/>
      <c r="M20" s="6"/>
      <c r="N20" s="6"/>
      <c r="O20" s="6"/>
      <c r="P20" s="36"/>
      <c r="Q20" s="34"/>
      <c r="R20" s="34"/>
      <c r="S20" s="34"/>
      <c r="T20" s="37"/>
      <c r="U20" s="37"/>
      <c r="V20" s="38">
        <f>DATEDIF(Table1[[#This Row],[Sponsor*]],Table1[[#This Row],[Start Date*]],"d")</f>
        <v>0</v>
      </c>
      <c r="W20" s="62">
        <f>DATEDIF([1]!Table1[[#This Row],[Start Date*]],[1]!Table1[[#This Row],[End Date*]],"d")</f>
        <v>181</v>
      </c>
      <c r="X20" s="39"/>
      <c r="Y20" s="34"/>
      <c r="Z20" s="34"/>
      <c r="AC20" s="34"/>
      <c r="AE20" s="34"/>
      <c r="AF20" s="40"/>
      <c r="AG20" s="34"/>
      <c r="AH20" s="34"/>
      <c r="AI20" s="34"/>
      <c r="AJ20" s="34"/>
      <c r="AK20" s="34">
        <f>SUBTOTAL(9,Table1[[#This Row],[Up Next Priority]:[Campus]])</f>
        <v>0</v>
      </c>
      <c r="AL20" s="52"/>
      <c r="AM20" s="42"/>
      <c r="AN20" s="43"/>
      <c r="AO20" s="44"/>
      <c r="AP20" s="44"/>
      <c r="AQ20" s="44"/>
      <c r="AR20" s="44"/>
      <c r="AS20" s="51"/>
      <c r="AT20" s="44"/>
      <c r="AU20" s="66">
        <f>SUM(Table1[[#This Row],[Org Impact Score]:[Tools]])</f>
        <v>0</v>
      </c>
      <c r="AV20" s="45"/>
      <c r="AW20" s="34"/>
      <c r="AX20" s="34"/>
      <c r="AY20" s="34"/>
    </row>
    <row r="21" spans="1:51">
      <c r="A21" s="31" t="s">
        <v>1112</v>
      </c>
      <c r="B21" s="32" t="s">
        <v>195</v>
      </c>
      <c r="C21" s="32" t="b">
        <v>0</v>
      </c>
      <c r="D21" s="32" t="s">
        <v>1111</v>
      </c>
      <c r="E21" s="32" t="s">
        <v>1117</v>
      </c>
      <c r="F21" s="32" t="s">
        <v>1123</v>
      </c>
      <c r="G21" s="32" t="s">
        <v>1126</v>
      </c>
      <c r="H21" s="65" t="s">
        <v>1113</v>
      </c>
      <c r="I21" s="33"/>
      <c r="J21" s="33"/>
      <c r="K21" s="33"/>
      <c r="L21" s="34"/>
      <c r="M21" s="6"/>
      <c r="N21" s="6"/>
      <c r="O21" s="6"/>
      <c r="P21" s="36"/>
      <c r="Q21" s="34"/>
      <c r="R21" s="34"/>
      <c r="S21" s="34"/>
      <c r="T21" s="37"/>
      <c r="U21" s="37"/>
      <c r="V21" s="38">
        <f>DATEDIF(Table1[[#This Row],[Sponsor*]],Table1[[#This Row],[Start Date*]],"d")</f>
        <v>0</v>
      </c>
      <c r="W21" s="62">
        <f>DATEDIF([1]!Table1[[#This Row],[Start Date*]],[1]!Table1[[#This Row],[End Date*]],"d")</f>
        <v>153</v>
      </c>
      <c r="X21" s="39"/>
      <c r="Y21" s="34"/>
      <c r="Z21" s="34"/>
      <c r="AC21" s="34"/>
      <c r="AE21" s="34"/>
      <c r="AF21" s="40"/>
      <c r="AG21" s="34"/>
      <c r="AH21" s="34"/>
      <c r="AI21" s="34"/>
      <c r="AJ21" s="34"/>
      <c r="AK21" s="34">
        <f>SUBTOTAL(9,Table1[[#This Row],[Up Next Priority]:[Campus]])</f>
        <v>0</v>
      </c>
      <c r="AL21" s="52"/>
      <c r="AM21" s="42"/>
      <c r="AN21" s="43"/>
      <c r="AO21" s="44"/>
      <c r="AP21" s="44"/>
      <c r="AQ21" s="44"/>
      <c r="AR21" s="44"/>
      <c r="AS21" s="51"/>
      <c r="AT21" s="44"/>
      <c r="AU21" s="66">
        <f>SUM(Table1[[#This Row],[Org Impact Score]:[Tools]])</f>
        <v>0</v>
      </c>
      <c r="AV21" s="45"/>
      <c r="AW21" s="34"/>
      <c r="AX21" s="34"/>
      <c r="AY21" s="34"/>
    </row>
    <row r="22" spans="1:51">
      <c r="A22" s="31" t="s">
        <v>1109</v>
      </c>
      <c r="B22" s="32" t="s">
        <v>195</v>
      </c>
      <c r="C22" s="32" t="b">
        <v>0</v>
      </c>
      <c r="D22" s="32" t="s">
        <v>1108</v>
      </c>
      <c r="E22" s="32" t="s">
        <v>1117</v>
      </c>
      <c r="F22" s="32" t="s">
        <v>1123</v>
      </c>
      <c r="G22" s="32" t="s">
        <v>1126</v>
      </c>
      <c r="H22" s="65" t="s">
        <v>1110</v>
      </c>
      <c r="I22" s="33"/>
      <c r="J22" s="33"/>
      <c r="K22" s="33"/>
      <c r="L22" s="34"/>
      <c r="M22" s="6"/>
      <c r="N22" s="6"/>
      <c r="O22" s="6"/>
      <c r="P22" s="36"/>
      <c r="Q22" s="34"/>
      <c r="R22" s="34"/>
      <c r="S22" s="34"/>
      <c r="T22" s="37"/>
      <c r="U22" s="37"/>
      <c r="V22" s="38">
        <f>DATEDIF(Table1[[#This Row],[Sponsor*]],Table1[[#This Row],[Start Date*]],"d")</f>
        <v>0</v>
      </c>
      <c r="W22" s="62">
        <f>DATEDIF([1]!Table1[[#This Row],[Start Date*]],[1]!Table1[[#This Row],[End Date*]],"d")</f>
        <v>30</v>
      </c>
      <c r="X22" s="39"/>
      <c r="Y22" s="34"/>
      <c r="Z22" s="34"/>
      <c r="AC22" s="34"/>
      <c r="AE22" s="34"/>
      <c r="AF22" s="40"/>
      <c r="AG22" s="34"/>
      <c r="AH22" s="34"/>
      <c r="AI22" s="34"/>
      <c r="AJ22" s="34"/>
      <c r="AK22" s="34">
        <f>SUBTOTAL(9,Table1[[#This Row],[Up Next Priority]:[Campus]])</f>
        <v>0</v>
      </c>
      <c r="AL22" s="52"/>
      <c r="AM22" s="42"/>
      <c r="AN22" s="43"/>
      <c r="AO22" s="44"/>
      <c r="AP22" s="44"/>
      <c r="AQ22" s="44"/>
      <c r="AR22" s="44"/>
      <c r="AS22" s="51"/>
      <c r="AT22" s="44"/>
      <c r="AU22" s="66">
        <f>SUM(Table1[[#This Row],[Org Impact Score]:[Tools]])</f>
        <v>0</v>
      </c>
      <c r="AV22" s="45"/>
      <c r="AW22" s="34"/>
      <c r="AX22" s="34"/>
      <c r="AY22" s="34"/>
    </row>
    <row r="23" spans="1:51">
      <c r="A23" s="31" t="s">
        <v>1106</v>
      </c>
      <c r="B23" s="32" t="s">
        <v>195</v>
      </c>
      <c r="C23" s="32" t="b">
        <v>0</v>
      </c>
      <c r="D23" s="32" t="s">
        <v>1105</v>
      </c>
      <c r="E23" s="32" t="s">
        <v>1117</v>
      </c>
      <c r="F23" s="32" t="s">
        <v>1123</v>
      </c>
      <c r="G23" s="32" t="s">
        <v>1126</v>
      </c>
      <c r="H23" s="65" t="s">
        <v>1107</v>
      </c>
      <c r="I23" s="33"/>
      <c r="J23" s="33"/>
      <c r="K23" s="33"/>
      <c r="L23" s="34"/>
      <c r="M23" s="6"/>
      <c r="N23" s="6"/>
      <c r="O23" s="6"/>
      <c r="P23" s="36"/>
      <c r="Q23" s="34"/>
      <c r="R23" s="34"/>
      <c r="S23" s="34"/>
      <c r="T23" s="37"/>
      <c r="U23" s="37"/>
      <c r="V23" s="38">
        <f>DATEDIF(Table1[[#This Row],[Sponsor*]],Table1[[#This Row],[Start Date*]],"d")</f>
        <v>0</v>
      </c>
      <c r="W23" s="62">
        <f>DATEDIF([1]!Table1[[#This Row],[Start Date*]],[1]!Table1[[#This Row],[End Date*]],"d")</f>
        <v>31</v>
      </c>
      <c r="X23" s="39"/>
      <c r="Y23" s="34"/>
      <c r="Z23" s="34"/>
      <c r="AC23" s="34"/>
      <c r="AE23" s="34"/>
      <c r="AF23" s="40"/>
      <c r="AG23" s="34"/>
      <c r="AH23" s="34"/>
      <c r="AI23" s="34"/>
      <c r="AJ23" s="34"/>
      <c r="AK23" s="34">
        <f>SUBTOTAL(9,Table1[[#This Row],[Up Next Priority]:[Campus]])</f>
        <v>0</v>
      </c>
      <c r="AL23" s="52"/>
      <c r="AM23" s="42"/>
      <c r="AN23" s="43"/>
      <c r="AO23" s="44"/>
      <c r="AP23" s="44"/>
      <c r="AQ23" s="44"/>
      <c r="AR23" s="44"/>
      <c r="AS23" s="51"/>
      <c r="AT23" s="44"/>
      <c r="AU23" s="66">
        <f>SUM(Table1[[#This Row],[Org Impact Score]:[Tools]])</f>
        <v>0</v>
      </c>
      <c r="AV23" s="45"/>
      <c r="AW23" s="34"/>
      <c r="AX23" s="34"/>
      <c r="AY23" s="34"/>
    </row>
    <row r="24" spans="1:51">
      <c r="A24" s="31" t="s">
        <v>1103</v>
      </c>
      <c r="B24" s="32" t="s">
        <v>195</v>
      </c>
      <c r="C24" s="32" t="b">
        <v>0</v>
      </c>
      <c r="D24" s="32" t="s">
        <v>1102</v>
      </c>
      <c r="E24" s="32" t="s">
        <v>1117</v>
      </c>
      <c r="F24" s="32" t="s">
        <v>1123</v>
      </c>
      <c r="G24" s="32" t="s">
        <v>1126</v>
      </c>
      <c r="H24" s="65" t="s">
        <v>1104</v>
      </c>
      <c r="I24" s="33"/>
      <c r="J24" s="33"/>
      <c r="K24" s="33"/>
      <c r="L24" s="34"/>
      <c r="M24" s="6"/>
      <c r="N24" s="6"/>
      <c r="O24" s="6"/>
      <c r="P24" s="36"/>
      <c r="Q24" s="34"/>
      <c r="R24" s="34"/>
      <c r="S24" s="34"/>
      <c r="T24" s="37"/>
      <c r="U24" s="37"/>
      <c r="V24" s="38">
        <f>DATEDIF(Table1[[#This Row],[Sponsor*]],Table1[[#This Row],[Start Date*]],"d")</f>
        <v>0</v>
      </c>
      <c r="W24" s="62">
        <f>DATEDIF([1]!Table1[[#This Row],[Start Date*]],[1]!Table1[[#This Row],[End Date*]],"d")</f>
        <v>243</v>
      </c>
      <c r="X24" s="39"/>
      <c r="Y24" s="34"/>
      <c r="Z24" s="34"/>
      <c r="AC24" s="34"/>
      <c r="AE24" s="34"/>
      <c r="AF24" s="40"/>
      <c r="AG24" s="34"/>
      <c r="AH24" s="34"/>
      <c r="AI24" s="34"/>
      <c r="AJ24" s="34"/>
      <c r="AK24" s="34">
        <f>SUBTOTAL(9,Table1[[#This Row],[Up Next Priority]:[Campus]])</f>
        <v>0</v>
      </c>
      <c r="AL24" s="52"/>
      <c r="AM24" s="42"/>
      <c r="AN24" s="43"/>
      <c r="AO24" s="44"/>
      <c r="AP24" s="44"/>
      <c r="AQ24" s="44"/>
      <c r="AR24" s="44"/>
      <c r="AS24" s="51"/>
      <c r="AT24" s="44"/>
      <c r="AU24" s="66">
        <f>SUM(Table1[[#This Row],[Org Impact Score]:[Tools]])</f>
        <v>0</v>
      </c>
      <c r="AV24" s="45"/>
      <c r="AW24" s="34"/>
      <c r="AX24" s="34"/>
      <c r="AY24" s="34"/>
    </row>
    <row r="25" spans="1:51">
      <c r="A25" s="31" t="s">
        <v>1100</v>
      </c>
      <c r="B25" s="32" t="s">
        <v>195</v>
      </c>
      <c r="C25" s="32" t="b">
        <v>0</v>
      </c>
      <c r="D25" s="32" t="s">
        <v>1099</v>
      </c>
      <c r="E25" s="32" t="s">
        <v>1117</v>
      </c>
      <c r="F25" s="32" t="s">
        <v>1123</v>
      </c>
      <c r="G25" s="32" t="s">
        <v>1126</v>
      </c>
      <c r="H25" s="65" t="s">
        <v>1101</v>
      </c>
      <c r="I25" s="33"/>
      <c r="J25" s="33"/>
      <c r="K25" s="33"/>
      <c r="L25" s="34"/>
      <c r="M25" s="6"/>
      <c r="N25" s="6"/>
      <c r="O25" s="6"/>
      <c r="P25" s="36"/>
      <c r="Q25" s="34"/>
      <c r="R25" s="34"/>
      <c r="S25" s="34"/>
      <c r="T25" s="37"/>
      <c r="U25" s="37"/>
      <c r="V25" s="38">
        <f>DATEDIF(Table1[[#This Row],[Sponsor*]],Table1[[#This Row],[Start Date*]],"d")</f>
        <v>0</v>
      </c>
      <c r="W25" s="62">
        <f>DATEDIF([1]!Table1[[#This Row],[Start Date*]],[1]!Table1[[#This Row],[End Date*]],"d")</f>
        <v>92</v>
      </c>
      <c r="X25" s="39"/>
      <c r="Y25" s="34"/>
      <c r="Z25" s="34"/>
      <c r="AC25" s="34"/>
      <c r="AE25" s="34"/>
      <c r="AF25" s="40"/>
      <c r="AG25" s="34"/>
      <c r="AH25" s="34"/>
      <c r="AI25" s="34"/>
      <c r="AJ25" s="34"/>
      <c r="AK25" s="34">
        <f>SUBTOTAL(9,Table1[[#This Row],[Up Next Priority]:[Campus]])</f>
        <v>0</v>
      </c>
      <c r="AL25" s="52"/>
      <c r="AM25" s="42"/>
      <c r="AN25" s="43"/>
      <c r="AO25" s="44"/>
      <c r="AP25" s="44"/>
      <c r="AQ25" s="44"/>
      <c r="AR25" s="44"/>
      <c r="AS25" s="51"/>
      <c r="AT25" s="44"/>
      <c r="AU25" s="66">
        <f>SUM(Table1[[#This Row],[Org Impact Score]:[Tools]])</f>
        <v>0</v>
      </c>
      <c r="AV25" s="45"/>
      <c r="AW25" s="34"/>
      <c r="AX25" s="34"/>
      <c r="AY25" s="34"/>
    </row>
    <row r="26" spans="1:51">
      <c r="A26" s="31" t="s">
        <v>1097</v>
      </c>
      <c r="B26" s="32" t="s">
        <v>195</v>
      </c>
      <c r="C26" s="32" t="b">
        <v>0</v>
      </c>
      <c r="D26" s="32" t="s">
        <v>1096</v>
      </c>
      <c r="E26" s="32" t="s">
        <v>1117</v>
      </c>
      <c r="F26" s="32" t="s">
        <v>1123</v>
      </c>
      <c r="G26" s="32" t="s">
        <v>1126</v>
      </c>
      <c r="H26" s="65" t="s">
        <v>1098</v>
      </c>
      <c r="I26" s="33"/>
      <c r="J26" s="33"/>
      <c r="K26" s="33"/>
      <c r="L26" s="34"/>
      <c r="M26" s="6"/>
      <c r="N26" s="6"/>
      <c r="O26" s="6"/>
      <c r="P26" s="36"/>
      <c r="Q26" s="34"/>
      <c r="R26" s="34"/>
      <c r="S26" s="34"/>
      <c r="T26" s="37"/>
      <c r="U26" s="37"/>
      <c r="V26" s="38">
        <f>DATEDIF(Table1[[#This Row],[Sponsor*]],Table1[[#This Row],[Start Date*]],"d")</f>
        <v>0</v>
      </c>
      <c r="W26" s="62">
        <f>DATEDIF([1]!Table1[[#This Row],[Start Date*]],[1]!Table1[[#This Row],[End Date*]],"d")</f>
        <v>31</v>
      </c>
      <c r="X26" s="39"/>
      <c r="Y26" s="34"/>
      <c r="Z26" s="34"/>
      <c r="AC26" s="34"/>
      <c r="AE26" s="34"/>
      <c r="AF26" s="40"/>
      <c r="AG26" s="34"/>
      <c r="AH26" s="34"/>
      <c r="AI26" s="34"/>
      <c r="AJ26" s="34"/>
      <c r="AK26" s="34">
        <f>SUBTOTAL(9,Table1[[#This Row],[Up Next Priority]:[Campus]])</f>
        <v>0</v>
      </c>
      <c r="AL26" s="52"/>
      <c r="AM26" s="42"/>
      <c r="AN26" s="43"/>
      <c r="AO26" s="44"/>
      <c r="AP26" s="44"/>
      <c r="AQ26" s="44"/>
      <c r="AR26" s="44"/>
      <c r="AS26" s="51"/>
      <c r="AT26" s="44"/>
      <c r="AU26" s="66">
        <f>SUM(Table1[[#This Row],[Org Impact Score]:[Tools]])</f>
        <v>0</v>
      </c>
      <c r="AV26" s="45"/>
      <c r="AW26" s="34"/>
      <c r="AX26" s="34"/>
      <c r="AY26" s="34"/>
    </row>
    <row r="27" spans="1:51">
      <c r="A27" s="31" t="s">
        <v>1094</v>
      </c>
      <c r="B27" s="32" t="s">
        <v>195</v>
      </c>
      <c r="C27" s="32" t="b">
        <v>0</v>
      </c>
      <c r="D27" s="32" t="s">
        <v>1093</v>
      </c>
      <c r="E27" s="32" t="s">
        <v>1117</v>
      </c>
      <c r="F27" s="32" t="s">
        <v>1123</v>
      </c>
      <c r="G27" s="32" t="s">
        <v>1134</v>
      </c>
      <c r="H27" s="65" t="s">
        <v>1095</v>
      </c>
      <c r="I27" s="33"/>
      <c r="J27" s="33"/>
      <c r="K27" s="33"/>
      <c r="L27" s="34"/>
      <c r="M27" s="6"/>
      <c r="N27" s="6"/>
      <c r="O27" s="6"/>
      <c r="P27" s="36"/>
      <c r="Q27" s="34"/>
      <c r="R27" s="34"/>
      <c r="S27" s="34"/>
      <c r="T27" s="37"/>
      <c r="U27" s="37"/>
      <c r="V27" s="38">
        <f>DATEDIF(Table1[[#This Row],[Sponsor*]],Table1[[#This Row],[Start Date*]],"d")</f>
        <v>0</v>
      </c>
      <c r="W27" s="62">
        <f>DATEDIF([1]!Table1[[#This Row],[Start Date*]],[1]!Table1[[#This Row],[End Date*]],"d")</f>
        <v>31</v>
      </c>
      <c r="X27" s="39"/>
      <c r="Y27" s="34"/>
      <c r="Z27" s="34"/>
      <c r="AC27" s="34"/>
      <c r="AE27" s="34"/>
      <c r="AF27" s="40"/>
      <c r="AG27" s="34"/>
      <c r="AH27" s="34"/>
      <c r="AI27" s="34"/>
      <c r="AJ27" s="34"/>
      <c r="AK27" s="34">
        <f>SUBTOTAL(9,Table1[[#This Row],[Up Next Priority]:[Campus]])</f>
        <v>0</v>
      </c>
      <c r="AL27" s="52"/>
      <c r="AM27" s="42"/>
      <c r="AN27" s="43"/>
      <c r="AO27" s="44"/>
      <c r="AP27" s="44"/>
      <c r="AQ27" s="44"/>
      <c r="AR27" s="44"/>
      <c r="AS27" s="51"/>
      <c r="AT27" s="44"/>
      <c r="AU27" s="66">
        <f>SUM(Table1[[#This Row],[Org Impact Score]:[Tools]])</f>
        <v>0</v>
      </c>
      <c r="AV27" s="45"/>
      <c r="AW27" s="34"/>
      <c r="AX27" s="34"/>
      <c r="AY27" s="34"/>
    </row>
    <row r="28" spans="1:51">
      <c r="A28" s="31" t="s">
        <v>1091</v>
      </c>
      <c r="B28" s="32" t="s">
        <v>195</v>
      </c>
      <c r="C28" s="32" t="b">
        <v>0</v>
      </c>
      <c r="D28" s="32" t="s">
        <v>1090</v>
      </c>
      <c r="E28" s="32" t="s">
        <v>1117</v>
      </c>
      <c r="F28" s="32" t="s">
        <v>1123</v>
      </c>
      <c r="G28" s="32" t="s">
        <v>1125</v>
      </c>
      <c r="H28" s="65" t="s">
        <v>1092</v>
      </c>
      <c r="I28" s="33"/>
      <c r="J28" s="33"/>
      <c r="K28" s="33"/>
      <c r="L28" s="34"/>
      <c r="M28" s="6"/>
      <c r="N28" s="6"/>
      <c r="O28" s="6"/>
      <c r="P28" s="36"/>
      <c r="Q28" s="34"/>
      <c r="R28" s="34"/>
      <c r="S28" s="34"/>
      <c r="T28" s="37"/>
      <c r="U28" s="37"/>
      <c r="V28" s="38">
        <f>DATEDIF(Table1[[#This Row],[Sponsor*]],Table1[[#This Row],[Start Date*]],"d")</f>
        <v>0</v>
      </c>
      <c r="W28" s="62">
        <f>DATEDIF([1]!Table1[[#This Row],[Start Date*]],[1]!Table1[[#This Row],[End Date*]],"d")</f>
        <v>184</v>
      </c>
      <c r="X28" s="39"/>
      <c r="Y28" s="34"/>
      <c r="Z28" s="34"/>
      <c r="AC28" s="34"/>
      <c r="AE28" s="34"/>
      <c r="AF28" s="40"/>
      <c r="AG28" s="34"/>
      <c r="AH28" s="34"/>
      <c r="AI28" s="34"/>
      <c r="AJ28" s="34"/>
      <c r="AK28" s="34">
        <f>SUBTOTAL(9,Table1[[#This Row],[Up Next Priority]:[Campus]])</f>
        <v>0</v>
      </c>
      <c r="AL28" s="52"/>
      <c r="AM28" s="42"/>
      <c r="AN28" s="43"/>
      <c r="AO28" s="44"/>
      <c r="AP28" s="44"/>
      <c r="AQ28" s="44"/>
      <c r="AR28" s="44"/>
      <c r="AS28" s="51"/>
      <c r="AT28" s="44"/>
      <c r="AU28" s="66">
        <f>SUM(Table1[[#This Row],[Org Impact Score]:[Tools]])</f>
        <v>0</v>
      </c>
      <c r="AV28" s="45"/>
      <c r="AW28" s="34"/>
      <c r="AX28" s="34"/>
      <c r="AY28" s="34"/>
    </row>
    <row r="29" spans="1:51">
      <c r="A29" s="31" t="s">
        <v>1088</v>
      </c>
      <c r="B29" s="32" t="s">
        <v>195</v>
      </c>
      <c r="C29" s="32" t="b">
        <v>0</v>
      </c>
      <c r="D29" s="32" t="s">
        <v>1087</v>
      </c>
      <c r="E29" s="32" t="s">
        <v>1117</v>
      </c>
      <c r="F29" s="32" t="s">
        <v>1123</v>
      </c>
      <c r="G29" s="32" t="s">
        <v>1125</v>
      </c>
      <c r="H29" s="65" t="s">
        <v>1089</v>
      </c>
      <c r="I29" s="33"/>
      <c r="J29" s="33"/>
      <c r="K29" s="33"/>
      <c r="L29" s="34"/>
      <c r="M29" s="6"/>
      <c r="N29" s="6"/>
      <c r="O29" s="6"/>
      <c r="P29" s="36"/>
      <c r="Q29" s="34"/>
      <c r="R29" s="34"/>
      <c r="S29" s="34"/>
      <c r="T29" s="37"/>
      <c r="U29" s="37"/>
      <c r="V29" s="38">
        <f>DATEDIF(Table1[[#This Row],[Sponsor*]],Table1[[#This Row],[Start Date*]],"d")</f>
        <v>0</v>
      </c>
      <c r="W29" s="62">
        <f>DATEDIF([1]!Table1[[#This Row],[Start Date*]],[1]!Table1[[#This Row],[End Date*]],"d")</f>
        <v>31</v>
      </c>
      <c r="X29" s="39"/>
      <c r="Y29" s="34"/>
      <c r="Z29" s="34"/>
      <c r="AC29" s="34"/>
      <c r="AE29" s="34"/>
      <c r="AF29" s="40"/>
      <c r="AG29" s="34"/>
      <c r="AH29" s="34"/>
      <c r="AI29" s="34"/>
      <c r="AJ29" s="34"/>
      <c r="AK29" s="34">
        <f>SUBTOTAL(9,Table1[[#This Row],[Up Next Priority]:[Campus]])</f>
        <v>0</v>
      </c>
      <c r="AL29" s="52"/>
      <c r="AM29" s="42"/>
      <c r="AN29" s="43"/>
      <c r="AO29" s="44"/>
      <c r="AP29" s="44"/>
      <c r="AQ29" s="44"/>
      <c r="AR29" s="44"/>
      <c r="AS29" s="51"/>
      <c r="AT29" s="44"/>
      <c r="AU29" s="66">
        <f>SUM(Table1[[#This Row],[Org Impact Score]:[Tools]])</f>
        <v>0</v>
      </c>
      <c r="AV29" s="45"/>
      <c r="AW29" s="34"/>
      <c r="AX29" s="34"/>
      <c r="AY29" s="34"/>
    </row>
    <row r="30" spans="1:51">
      <c r="A30" s="31" t="s">
        <v>1085</v>
      </c>
      <c r="B30" s="32" t="s">
        <v>195</v>
      </c>
      <c r="C30" s="32" t="b">
        <v>0</v>
      </c>
      <c r="D30" s="32" t="s">
        <v>1084</v>
      </c>
      <c r="E30" s="32" t="s">
        <v>1117</v>
      </c>
      <c r="F30" s="32" t="s">
        <v>1123</v>
      </c>
      <c r="G30" s="32" t="s">
        <v>1125</v>
      </c>
      <c r="H30" s="65" t="s">
        <v>1086</v>
      </c>
      <c r="I30" s="33"/>
      <c r="J30" s="33"/>
      <c r="K30" s="33"/>
      <c r="L30" s="34"/>
      <c r="M30" s="6"/>
      <c r="N30" s="6"/>
      <c r="O30" s="6"/>
      <c r="P30" s="36"/>
      <c r="Q30" s="34"/>
      <c r="R30" s="34"/>
      <c r="S30" s="34"/>
      <c r="T30" s="37"/>
      <c r="U30" s="37"/>
      <c r="V30" s="38">
        <f>DATEDIF(Table1[[#This Row],[Sponsor*]],Table1[[#This Row],[Start Date*]],"d")</f>
        <v>0</v>
      </c>
      <c r="W30" s="62">
        <f>DATEDIF([1]!Table1[[#This Row],[Start Date*]],[1]!Table1[[#This Row],[End Date*]],"d")</f>
        <v>31</v>
      </c>
      <c r="X30" s="39"/>
      <c r="Y30" s="34"/>
      <c r="Z30" s="34"/>
      <c r="AC30" s="34"/>
      <c r="AE30" s="34"/>
      <c r="AF30" s="40"/>
      <c r="AG30" s="34"/>
      <c r="AH30" s="34"/>
      <c r="AI30" s="34"/>
      <c r="AJ30" s="34"/>
      <c r="AK30" s="34">
        <f>SUBTOTAL(9,Table1[[#This Row],[Up Next Priority]:[Campus]])</f>
        <v>0</v>
      </c>
      <c r="AL30" s="52"/>
      <c r="AM30" s="42"/>
      <c r="AN30" s="43"/>
      <c r="AO30" s="44"/>
      <c r="AP30" s="44"/>
      <c r="AQ30" s="44"/>
      <c r="AR30" s="44"/>
      <c r="AS30" s="51"/>
      <c r="AT30" s="44"/>
      <c r="AU30" s="66">
        <f>SUM(Table1[[#This Row],[Org Impact Score]:[Tools]])</f>
        <v>0</v>
      </c>
      <c r="AV30" s="45"/>
      <c r="AW30" s="34"/>
      <c r="AX30" s="34"/>
      <c r="AY30" s="34"/>
    </row>
    <row r="31" spans="1:51">
      <c r="A31" s="31" t="s">
        <v>1058</v>
      </c>
      <c r="B31" s="32" t="s">
        <v>195</v>
      </c>
      <c r="C31" s="32" t="b">
        <v>0</v>
      </c>
      <c r="D31" s="32" t="s">
        <v>1057</v>
      </c>
      <c r="E31" s="32" t="s">
        <v>1117</v>
      </c>
      <c r="F31" s="32" t="s">
        <v>1122</v>
      </c>
      <c r="G31" s="32" t="s">
        <v>1125</v>
      </c>
      <c r="H31" s="65" t="s">
        <v>1059</v>
      </c>
      <c r="I31" s="33"/>
      <c r="J31" s="33"/>
      <c r="K31" s="33"/>
      <c r="L31" s="34"/>
      <c r="M31" s="6"/>
      <c r="N31" s="6"/>
      <c r="O31" s="6"/>
      <c r="P31" s="36"/>
      <c r="Q31" s="34"/>
      <c r="R31" s="34"/>
      <c r="S31" s="34"/>
      <c r="T31" s="37"/>
      <c r="U31" s="37"/>
      <c r="V31" s="38">
        <f>DATEDIF(Table1[[#This Row],[Sponsor*]],Table1[[#This Row],[Start Date*]],"d")</f>
        <v>0</v>
      </c>
      <c r="W31" s="62">
        <f>DATEDIF([1]!Table1[[#This Row],[Start Date*]],[1]!Table1[[#This Row],[End Date*]],"d")</f>
        <v>31</v>
      </c>
      <c r="X31" s="39"/>
      <c r="Y31" s="34"/>
      <c r="Z31" s="34"/>
      <c r="AC31" s="34"/>
      <c r="AE31" s="34"/>
      <c r="AF31" s="40"/>
      <c r="AG31" s="34"/>
      <c r="AH31" s="34"/>
      <c r="AI31" s="34"/>
      <c r="AJ31" s="34"/>
      <c r="AK31" s="34">
        <f>SUBTOTAL(9,Table1[[#This Row],[Up Next Priority]:[Campus]])</f>
        <v>0</v>
      </c>
      <c r="AL31" s="52"/>
      <c r="AM31" s="42"/>
      <c r="AN31" s="43"/>
      <c r="AO31" s="44"/>
      <c r="AP31" s="44"/>
      <c r="AQ31" s="44"/>
      <c r="AR31" s="44"/>
      <c r="AS31" s="51"/>
      <c r="AT31" s="44"/>
      <c r="AU31" s="66">
        <f>SUM(Table1[[#This Row],[Org Impact Score]:[Tools]])</f>
        <v>0</v>
      </c>
      <c r="AV31" s="45"/>
      <c r="AW31" s="34"/>
      <c r="AX31" s="34"/>
      <c r="AY31" s="34"/>
    </row>
    <row r="32" spans="1:51">
      <c r="A32" s="31" t="s">
        <v>1082</v>
      </c>
      <c r="B32" s="32" t="s">
        <v>195</v>
      </c>
      <c r="C32" s="32" t="b">
        <v>0</v>
      </c>
      <c r="D32" s="32" t="s">
        <v>1081</v>
      </c>
      <c r="E32" s="32" t="s">
        <v>1117</v>
      </c>
      <c r="F32" s="32" t="s">
        <v>1122</v>
      </c>
      <c r="G32" s="32" t="s">
        <v>1125</v>
      </c>
      <c r="H32" s="65" t="s">
        <v>1083</v>
      </c>
      <c r="I32" s="33"/>
      <c r="J32" s="33"/>
      <c r="K32" s="33"/>
      <c r="L32" s="34"/>
      <c r="M32" s="6"/>
      <c r="N32" s="6"/>
      <c r="O32" s="6"/>
      <c r="P32" s="36"/>
      <c r="Q32" s="34"/>
      <c r="R32" s="34"/>
      <c r="S32" s="34"/>
      <c r="T32" s="37"/>
      <c r="U32" s="37"/>
      <c r="V32" s="38">
        <f>DATEDIF(Table1[[#This Row],[Sponsor*]],Table1[[#This Row],[Start Date*]],"d")</f>
        <v>0</v>
      </c>
      <c r="W32" s="62">
        <f>DATEDIF([1]!Table1[[#This Row],[Start Date*]],[1]!Table1[[#This Row],[End Date*]],"d")</f>
        <v>61</v>
      </c>
      <c r="X32" s="39"/>
      <c r="Y32" s="34"/>
      <c r="Z32" s="34"/>
      <c r="AC32" s="34"/>
      <c r="AE32" s="34"/>
      <c r="AF32" s="40"/>
      <c r="AG32" s="34"/>
      <c r="AH32" s="34"/>
      <c r="AI32" s="34"/>
      <c r="AJ32" s="34"/>
      <c r="AK32" s="34">
        <f>SUBTOTAL(9,Table1[[#This Row],[Up Next Priority]:[Campus]])</f>
        <v>0</v>
      </c>
      <c r="AL32" s="52"/>
      <c r="AM32" s="42"/>
      <c r="AN32" s="43"/>
      <c r="AO32" s="44"/>
      <c r="AP32" s="44"/>
      <c r="AQ32" s="44"/>
      <c r="AR32" s="44"/>
      <c r="AS32" s="51"/>
      <c r="AT32" s="44"/>
      <c r="AU32" s="66">
        <f>SUM(Table1[[#This Row],[Org Impact Score]:[Tools]])</f>
        <v>0</v>
      </c>
      <c r="AV32" s="45"/>
      <c r="AW32" s="34"/>
      <c r="AX32" s="34"/>
      <c r="AY32" s="34"/>
    </row>
    <row r="33" spans="1:51">
      <c r="A33" s="31" t="s">
        <v>1079</v>
      </c>
      <c r="B33" s="32" t="s">
        <v>195</v>
      </c>
      <c r="C33" s="32" t="b">
        <v>0</v>
      </c>
      <c r="D33" s="32" t="s">
        <v>1078</v>
      </c>
      <c r="E33" s="32" t="s">
        <v>1117</v>
      </c>
      <c r="F33" s="32" t="s">
        <v>1122</v>
      </c>
      <c r="G33" s="32" t="s">
        <v>1125</v>
      </c>
      <c r="H33" s="65" t="s">
        <v>1080</v>
      </c>
      <c r="I33" s="33"/>
      <c r="J33" s="33"/>
      <c r="K33" s="33"/>
      <c r="L33" s="34"/>
      <c r="M33" s="6"/>
      <c r="N33" s="6"/>
      <c r="O33" s="6"/>
      <c r="P33" s="36"/>
      <c r="Q33" s="34"/>
      <c r="R33" s="34"/>
      <c r="S33" s="34"/>
      <c r="T33" s="37"/>
      <c r="U33" s="37"/>
      <c r="V33" s="38">
        <f>DATEDIF(Table1[[#This Row],[Sponsor*]],Table1[[#This Row],[Start Date*]],"d")</f>
        <v>0</v>
      </c>
      <c r="W33" s="62">
        <f>DATEDIF([1]!Table1[[#This Row],[Start Date*]],[1]!Table1[[#This Row],[End Date*]],"d")</f>
        <v>31</v>
      </c>
      <c r="X33" s="39"/>
      <c r="Y33" s="34"/>
      <c r="Z33" s="34"/>
      <c r="AC33" s="34"/>
      <c r="AE33" s="34"/>
      <c r="AF33" s="40"/>
      <c r="AG33" s="34"/>
      <c r="AH33" s="34"/>
      <c r="AI33" s="34"/>
      <c r="AJ33" s="34"/>
      <c r="AK33" s="34">
        <f>SUBTOTAL(9,Table1[[#This Row],[Up Next Priority]:[Campus]])</f>
        <v>0</v>
      </c>
      <c r="AL33" s="52"/>
      <c r="AM33" s="42"/>
      <c r="AN33" s="43"/>
      <c r="AO33" s="44"/>
      <c r="AP33" s="44"/>
      <c r="AQ33" s="44"/>
      <c r="AR33" s="44"/>
      <c r="AS33" s="51"/>
      <c r="AT33" s="44"/>
      <c r="AU33" s="66">
        <f>SUM(Table1[[#This Row],[Org Impact Score]:[Tools]])</f>
        <v>0</v>
      </c>
      <c r="AV33" s="45"/>
      <c r="AW33" s="34"/>
      <c r="AX33" s="34"/>
      <c r="AY33" s="34"/>
    </row>
    <row r="34" spans="1:51">
      <c r="A34" s="31" t="s">
        <v>1076</v>
      </c>
      <c r="B34" s="32" t="s">
        <v>195</v>
      </c>
      <c r="C34" s="32" t="b">
        <v>0</v>
      </c>
      <c r="D34" s="32" t="s">
        <v>1075</v>
      </c>
      <c r="E34" s="32" t="s">
        <v>1117</v>
      </c>
      <c r="F34" s="32" t="s">
        <v>1121</v>
      </c>
      <c r="G34" s="32" t="s">
        <v>1126</v>
      </c>
      <c r="H34" s="65" t="s">
        <v>1077</v>
      </c>
      <c r="I34" s="33"/>
      <c r="J34" s="33"/>
      <c r="K34" s="33"/>
      <c r="L34" s="34"/>
      <c r="M34" s="6"/>
      <c r="N34" s="6"/>
      <c r="O34" s="6"/>
      <c r="P34" s="36"/>
      <c r="Q34" s="34"/>
      <c r="R34" s="34"/>
      <c r="S34" s="34"/>
      <c r="T34" s="37"/>
      <c r="U34" s="37"/>
      <c r="V34" s="38">
        <f>DATEDIF(Table1[[#This Row],[Sponsor*]],Table1[[#This Row],[Start Date*]],"d")</f>
        <v>0</v>
      </c>
      <c r="W34" s="62">
        <f>DATEDIF([1]!Table1[[#This Row],[Start Date*]],[1]!Table1[[#This Row],[End Date*]],"d")</f>
        <v>61</v>
      </c>
      <c r="X34" s="39"/>
      <c r="Y34" s="34"/>
      <c r="Z34" s="34"/>
      <c r="AC34" s="34"/>
      <c r="AE34" s="34"/>
      <c r="AF34" s="40"/>
      <c r="AG34" s="34"/>
      <c r="AH34" s="34"/>
      <c r="AI34" s="34"/>
      <c r="AJ34" s="34"/>
      <c r="AK34" s="34">
        <f>SUBTOTAL(9,Table1[[#This Row],[Up Next Priority]:[Campus]])</f>
        <v>0</v>
      </c>
      <c r="AL34" s="52"/>
      <c r="AM34" s="42"/>
      <c r="AN34" s="43"/>
      <c r="AO34" s="44"/>
      <c r="AP34" s="44"/>
      <c r="AQ34" s="44"/>
      <c r="AR34" s="44"/>
      <c r="AS34" s="51"/>
      <c r="AT34" s="44"/>
      <c r="AU34" s="66">
        <f>SUM(Table1[[#This Row],[Org Impact Score]:[Tools]])</f>
        <v>0</v>
      </c>
      <c r="AV34" s="45"/>
      <c r="AW34" s="34"/>
      <c r="AX34" s="34"/>
      <c r="AY34" s="34"/>
    </row>
    <row r="35" spans="1:51">
      <c r="A35" s="31" t="s">
        <v>1073</v>
      </c>
      <c r="B35" s="32" t="s">
        <v>195</v>
      </c>
      <c r="C35" s="32" t="b">
        <v>0</v>
      </c>
      <c r="D35" s="32" t="s">
        <v>1072</v>
      </c>
      <c r="E35" s="32" t="s">
        <v>1117</v>
      </c>
      <c r="F35" s="32" t="s">
        <v>1121</v>
      </c>
      <c r="G35" s="32" t="s">
        <v>1126</v>
      </c>
      <c r="H35" s="65" t="s">
        <v>1074</v>
      </c>
      <c r="I35" s="33"/>
      <c r="J35" s="33"/>
      <c r="K35" s="33"/>
      <c r="L35" s="34"/>
      <c r="M35" s="6"/>
      <c r="N35" s="6"/>
      <c r="O35" s="6"/>
      <c r="P35" s="36"/>
      <c r="Q35" s="34"/>
      <c r="R35" s="34"/>
      <c r="S35" s="34"/>
      <c r="T35" s="37"/>
      <c r="U35" s="37"/>
      <c r="V35" s="38">
        <f>DATEDIF(Table1[[#This Row],[Sponsor*]],Table1[[#This Row],[Start Date*]],"d")</f>
        <v>0</v>
      </c>
      <c r="W35" s="62">
        <f>DATEDIF([1]!Table1[[#This Row],[Start Date*]],[1]!Table1[[#This Row],[End Date*]],"d")</f>
        <v>243</v>
      </c>
      <c r="X35" s="39"/>
      <c r="Y35" s="34"/>
      <c r="Z35" s="34"/>
      <c r="AC35" s="34"/>
      <c r="AE35" s="34"/>
      <c r="AF35" s="40"/>
      <c r="AG35" s="34"/>
      <c r="AH35" s="34"/>
      <c r="AI35" s="34"/>
      <c r="AJ35" s="34"/>
      <c r="AK35" s="34">
        <f>SUBTOTAL(9,Table1[[#This Row],[Up Next Priority]:[Campus]])</f>
        <v>0</v>
      </c>
      <c r="AL35" s="52"/>
      <c r="AM35" s="42"/>
      <c r="AN35" s="43"/>
      <c r="AO35" s="44"/>
      <c r="AP35" s="44"/>
      <c r="AQ35" s="44"/>
      <c r="AR35" s="44"/>
      <c r="AS35" s="51"/>
      <c r="AT35" s="44"/>
      <c r="AU35" s="66">
        <f>SUM(Table1[[#This Row],[Org Impact Score]:[Tools]])</f>
        <v>0</v>
      </c>
      <c r="AV35" s="45"/>
      <c r="AW35" s="34"/>
      <c r="AX35" s="34"/>
      <c r="AY35" s="34"/>
    </row>
    <row r="36" spans="1:51">
      <c r="A36" s="31" t="s">
        <v>1070</v>
      </c>
      <c r="B36" s="32" t="s">
        <v>195</v>
      </c>
      <c r="C36" s="32" t="b">
        <v>0</v>
      </c>
      <c r="D36" s="32" t="s">
        <v>1069</v>
      </c>
      <c r="E36" s="32" t="s">
        <v>1117</v>
      </c>
      <c r="F36" s="32" t="s">
        <v>1121</v>
      </c>
      <c r="G36" s="32" t="s">
        <v>1131</v>
      </c>
      <c r="H36" s="65" t="s">
        <v>1071</v>
      </c>
      <c r="I36" s="33"/>
      <c r="J36" s="33"/>
      <c r="K36" s="33"/>
      <c r="L36" s="34"/>
      <c r="M36" s="6"/>
      <c r="N36" s="6"/>
      <c r="O36" s="6"/>
      <c r="P36" s="36"/>
      <c r="Q36" s="34"/>
      <c r="R36" s="34"/>
      <c r="S36" s="34"/>
      <c r="T36" s="37"/>
      <c r="U36" s="37"/>
      <c r="V36" s="38">
        <f>DATEDIF(Table1[[#This Row],[Sponsor*]],Table1[[#This Row],[Start Date*]],"d")</f>
        <v>0</v>
      </c>
      <c r="W36" s="62">
        <f>DATEDIF([1]!Table1[[#This Row],[Start Date*]],[1]!Table1[[#This Row],[End Date*]],"d")</f>
        <v>212</v>
      </c>
      <c r="X36" s="39"/>
      <c r="Y36" s="34"/>
      <c r="Z36" s="34"/>
      <c r="AC36" s="34"/>
      <c r="AE36" s="34"/>
      <c r="AF36" s="40"/>
      <c r="AG36" s="34"/>
      <c r="AH36" s="34"/>
      <c r="AI36" s="34"/>
      <c r="AJ36" s="34"/>
      <c r="AK36" s="34">
        <f>SUBTOTAL(9,Table1[[#This Row],[Up Next Priority]:[Campus]])</f>
        <v>0</v>
      </c>
      <c r="AL36" s="52"/>
      <c r="AM36" s="42"/>
      <c r="AN36" s="43"/>
      <c r="AO36" s="44"/>
      <c r="AP36" s="44"/>
      <c r="AQ36" s="44"/>
      <c r="AR36" s="44"/>
      <c r="AS36" s="51"/>
      <c r="AT36" s="44"/>
      <c r="AU36" s="66">
        <f>SUM(Table1[[#This Row],[Org Impact Score]:[Tools]])</f>
        <v>0</v>
      </c>
      <c r="AV36" s="45"/>
      <c r="AW36" s="34"/>
      <c r="AX36" s="34"/>
      <c r="AY36" s="34"/>
    </row>
    <row r="37" spans="1:51">
      <c r="A37" s="31" t="s">
        <v>1067</v>
      </c>
      <c r="B37" s="32" t="s">
        <v>195</v>
      </c>
      <c r="C37" s="32" t="b">
        <v>0</v>
      </c>
      <c r="D37" s="32" t="s">
        <v>1066</v>
      </c>
      <c r="E37" s="32" t="s">
        <v>1117</v>
      </c>
      <c r="F37" s="32" t="s">
        <v>1121</v>
      </c>
      <c r="G37" s="32" t="s">
        <v>1126</v>
      </c>
      <c r="H37" s="65" t="s">
        <v>1068</v>
      </c>
      <c r="I37" s="33"/>
      <c r="J37" s="33"/>
      <c r="K37" s="33"/>
      <c r="L37" s="34"/>
      <c r="M37" s="6"/>
      <c r="N37" s="6"/>
      <c r="O37" s="6"/>
      <c r="P37" s="36"/>
      <c r="Q37" s="34"/>
      <c r="R37" s="34"/>
      <c r="S37" s="34"/>
      <c r="T37" s="37"/>
      <c r="U37" s="37"/>
      <c r="V37" s="38">
        <f>DATEDIF(Table1[[#This Row],[Sponsor*]],Table1[[#This Row],[Start Date*]],"d")</f>
        <v>0</v>
      </c>
      <c r="W37" s="62">
        <f>DATEDIF([1]!Table1[[#This Row],[Start Date*]],[1]!Table1[[#This Row],[End Date*]],"d")</f>
        <v>212</v>
      </c>
      <c r="X37" s="39"/>
      <c r="Y37" s="34"/>
      <c r="Z37" s="34"/>
      <c r="AC37" s="34"/>
      <c r="AE37" s="34"/>
      <c r="AF37" s="40"/>
      <c r="AG37" s="34"/>
      <c r="AH37" s="34"/>
      <c r="AI37" s="34"/>
      <c r="AJ37" s="34"/>
      <c r="AK37" s="34">
        <f>SUBTOTAL(9,Table1[[#This Row],[Up Next Priority]:[Campus]])</f>
        <v>0</v>
      </c>
      <c r="AL37" s="52"/>
      <c r="AM37" s="42"/>
      <c r="AN37" s="43"/>
      <c r="AO37" s="44"/>
      <c r="AP37" s="44"/>
      <c r="AQ37" s="44"/>
      <c r="AR37" s="44"/>
      <c r="AS37" s="51"/>
      <c r="AT37" s="44"/>
      <c r="AU37" s="66">
        <f>SUM(Table1[[#This Row],[Org Impact Score]:[Tools]])</f>
        <v>0</v>
      </c>
      <c r="AV37" s="45"/>
      <c r="AW37" s="34"/>
      <c r="AX37" s="34"/>
      <c r="AY37" s="34"/>
    </row>
    <row r="38" spans="1:51">
      <c r="A38" s="31" t="s">
        <v>1430</v>
      </c>
      <c r="B38" s="32" t="s">
        <v>195</v>
      </c>
      <c r="C38" s="32" t="b">
        <v>1</v>
      </c>
      <c r="D38" s="32" t="s">
        <v>1429</v>
      </c>
      <c r="E38" s="32" t="s">
        <v>1117</v>
      </c>
      <c r="F38" s="32" t="s">
        <v>1121</v>
      </c>
      <c r="G38" s="32" t="s">
        <v>1131</v>
      </c>
      <c r="H38" s="65" t="s">
        <v>1431</v>
      </c>
      <c r="I38" s="33"/>
      <c r="J38" s="33"/>
      <c r="K38" s="33"/>
      <c r="L38" s="34"/>
      <c r="M38" s="6"/>
      <c r="N38" s="6"/>
      <c r="O38" s="6"/>
      <c r="P38" s="36"/>
      <c r="Q38" s="34"/>
      <c r="R38" s="34"/>
      <c r="S38" s="34"/>
      <c r="T38" s="37"/>
      <c r="U38" s="37"/>
      <c r="V38" s="38">
        <f>DATEDIF(Table1[[#This Row],[Sponsor*]],Table1[[#This Row],[Start Date*]],"d")</f>
        <v>0</v>
      </c>
      <c r="W38" s="62">
        <f>DATEDIF([1]!Table1[[#This Row],[Start Date*]],[1]!Table1[[#This Row],[End Date*]],"d")</f>
        <v>31</v>
      </c>
      <c r="X38" s="39"/>
      <c r="Y38" s="34"/>
      <c r="Z38" s="34"/>
      <c r="AC38" s="34"/>
      <c r="AE38" s="34"/>
      <c r="AF38" s="40"/>
      <c r="AG38" s="34"/>
      <c r="AH38" s="34"/>
      <c r="AI38" s="34"/>
      <c r="AJ38" s="34"/>
      <c r="AK38" s="34">
        <f>SUBTOTAL(9,Table1[[#This Row],[Up Next Priority]:[Campus]])</f>
        <v>0</v>
      </c>
      <c r="AL38" s="52"/>
      <c r="AM38" s="42"/>
      <c r="AN38" s="43"/>
      <c r="AO38" s="44"/>
      <c r="AP38" s="44"/>
      <c r="AQ38" s="44"/>
      <c r="AR38" s="44"/>
      <c r="AS38" s="51"/>
      <c r="AT38" s="44"/>
      <c r="AU38" s="66">
        <f>SUM(Table1[[#This Row],[Org Impact Score]:[Tools]])</f>
        <v>0</v>
      </c>
      <c r="AV38" s="45"/>
      <c r="AW38" s="34"/>
      <c r="AX38" s="34"/>
      <c r="AY38" s="34"/>
    </row>
    <row r="39" spans="1:51">
      <c r="A39" s="31" t="s">
        <v>1064</v>
      </c>
      <c r="B39" s="32" t="s">
        <v>195</v>
      </c>
      <c r="C39" s="32" t="b">
        <v>0</v>
      </c>
      <c r="D39" s="32" t="s">
        <v>1063</v>
      </c>
      <c r="E39" s="32" t="s">
        <v>1117</v>
      </c>
      <c r="F39" s="32" t="s">
        <v>1120</v>
      </c>
      <c r="G39" s="32" t="s">
        <v>1125</v>
      </c>
      <c r="H39" s="65" t="s">
        <v>1065</v>
      </c>
      <c r="I39" s="33"/>
      <c r="J39" s="33"/>
      <c r="K39" s="33"/>
      <c r="L39" s="34"/>
      <c r="M39" s="6"/>
      <c r="N39" s="6"/>
      <c r="O39" s="6"/>
      <c r="P39" s="36"/>
      <c r="Q39" s="34"/>
      <c r="R39" s="34"/>
      <c r="S39" s="34"/>
      <c r="T39" s="37"/>
      <c r="U39" s="37"/>
      <c r="V39" s="38">
        <f>DATEDIF(Table1[[#This Row],[Sponsor*]],Table1[[#This Row],[Start Date*]],"d")</f>
        <v>0</v>
      </c>
      <c r="W39" s="62">
        <f>DATEDIF([1]!Table1[[#This Row],[Start Date*]],[1]!Table1[[#This Row],[End Date*]],"d")</f>
        <v>89</v>
      </c>
      <c r="X39" s="39"/>
      <c r="Y39" s="34"/>
      <c r="Z39" s="34"/>
      <c r="AC39" s="34"/>
      <c r="AE39" s="34"/>
      <c r="AF39" s="40"/>
      <c r="AG39" s="34"/>
      <c r="AH39" s="34"/>
      <c r="AI39" s="34"/>
      <c r="AJ39" s="34"/>
      <c r="AK39" s="34">
        <f>SUBTOTAL(9,Table1[[#This Row],[Up Next Priority]:[Campus]])</f>
        <v>0</v>
      </c>
      <c r="AL39" s="52"/>
      <c r="AM39" s="42"/>
      <c r="AN39" s="43"/>
      <c r="AO39" s="44"/>
      <c r="AP39" s="44"/>
      <c r="AQ39" s="44"/>
      <c r="AR39" s="44"/>
      <c r="AS39" s="51"/>
      <c r="AT39" s="44"/>
      <c r="AU39" s="66">
        <f>SUM(Table1[[#This Row],[Org Impact Score]:[Tools]])</f>
        <v>0</v>
      </c>
      <c r="AV39" s="45"/>
      <c r="AW39" s="34"/>
      <c r="AX39" s="34"/>
      <c r="AY39" s="34"/>
    </row>
    <row r="40" spans="1:51">
      <c r="A40" s="31" t="s">
        <v>1427</v>
      </c>
      <c r="B40" s="32" t="s">
        <v>195</v>
      </c>
      <c r="C40" s="32" t="b">
        <v>1</v>
      </c>
      <c r="D40" s="32" t="s">
        <v>1426</v>
      </c>
      <c r="E40" s="32" t="s">
        <v>1117</v>
      </c>
      <c r="F40" s="32" t="s">
        <v>1120</v>
      </c>
      <c r="G40" s="32" t="s">
        <v>1126</v>
      </c>
      <c r="H40" s="65" t="s">
        <v>1428</v>
      </c>
      <c r="I40" s="33"/>
      <c r="J40" s="33"/>
      <c r="K40" s="33"/>
      <c r="L40" s="34"/>
      <c r="M40" s="6"/>
      <c r="N40" s="6"/>
      <c r="O40" s="6"/>
      <c r="P40" s="36"/>
      <c r="Q40" s="34"/>
      <c r="R40" s="34"/>
      <c r="S40" s="34"/>
      <c r="T40" s="37"/>
      <c r="U40" s="37"/>
      <c r="V40" s="38">
        <f>DATEDIF(Table1[[#This Row],[Sponsor*]],Table1[[#This Row],[Start Date*]],"d")</f>
        <v>0</v>
      </c>
      <c r="W40" s="62">
        <f>DATEDIF([1]!Table1[[#This Row],[Start Date*]],[1]!Table1[[#This Row],[End Date*]],"d")</f>
        <v>31</v>
      </c>
      <c r="X40" s="39"/>
      <c r="Y40" s="34"/>
      <c r="Z40" s="34"/>
      <c r="AC40" s="34"/>
      <c r="AE40" s="34"/>
      <c r="AF40" s="40"/>
      <c r="AG40" s="34"/>
      <c r="AH40" s="34"/>
      <c r="AI40" s="34"/>
      <c r="AJ40" s="34"/>
      <c r="AK40" s="34">
        <f>SUBTOTAL(9,Table1[[#This Row],[Up Next Priority]:[Campus]])</f>
        <v>0</v>
      </c>
      <c r="AL40" s="52"/>
      <c r="AM40" s="42"/>
      <c r="AN40" s="43"/>
      <c r="AO40" s="44"/>
      <c r="AP40" s="44"/>
      <c r="AQ40" s="44"/>
      <c r="AR40" s="44"/>
      <c r="AS40" s="51"/>
      <c r="AT40" s="44"/>
      <c r="AU40" s="66">
        <f>SUM(Table1[[#This Row],[Org Impact Score]:[Tools]])</f>
        <v>0</v>
      </c>
      <c r="AV40" s="45"/>
      <c r="AW40" s="34"/>
      <c r="AX40" s="34"/>
      <c r="AY40" s="34"/>
    </row>
    <row r="41" spans="1:51">
      <c r="A41" s="31" t="s">
        <v>1061</v>
      </c>
      <c r="B41" s="32" t="s">
        <v>195</v>
      </c>
      <c r="C41" s="32" t="b">
        <v>0</v>
      </c>
      <c r="D41" s="32" t="s">
        <v>1060</v>
      </c>
      <c r="E41" s="32" t="s">
        <v>1117</v>
      </c>
      <c r="F41" s="32" t="s">
        <v>1120</v>
      </c>
      <c r="G41" s="32" t="s">
        <v>1126</v>
      </c>
      <c r="H41" s="65" t="s">
        <v>1062</v>
      </c>
      <c r="I41" s="33"/>
      <c r="J41" s="33"/>
      <c r="K41" s="33"/>
      <c r="L41" s="34"/>
      <c r="M41" s="6"/>
      <c r="N41" s="6"/>
      <c r="O41" s="6"/>
      <c r="P41" s="36"/>
      <c r="Q41" s="34"/>
      <c r="R41" s="34"/>
      <c r="S41" s="34"/>
      <c r="T41" s="37"/>
      <c r="U41" s="37"/>
      <c r="V41" s="38">
        <f>DATEDIF(Table1[[#This Row],[Sponsor*]],Table1[[#This Row],[Start Date*]],"d")</f>
        <v>0</v>
      </c>
      <c r="W41" s="62">
        <f>DATEDIF([1]!Table1[[#This Row],[Start Date*]],[1]!Table1[[#This Row],[End Date*]],"d")</f>
        <v>31</v>
      </c>
      <c r="X41" s="39"/>
      <c r="Y41" s="34"/>
      <c r="Z41" s="34"/>
      <c r="AC41" s="34"/>
      <c r="AE41" s="34"/>
      <c r="AF41" s="40"/>
      <c r="AG41" s="34"/>
      <c r="AH41" s="34"/>
      <c r="AI41" s="34"/>
      <c r="AJ41" s="34"/>
      <c r="AK41" s="34">
        <f>SUBTOTAL(9,Table1[[#This Row],[Up Next Priority]:[Campus]])</f>
        <v>0</v>
      </c>
      <c r="AL41" s="52"/>
      <c r="AM41" s="42"/>
      <c r="AN41" s="43"/>
      <c r="AO41" s="44"/>
      <c r="AP41" s="44"/>
      <c r="AQ41" s="44"/>
      <c r="AR41" s="44"/>
      <c r="AS41" s="51"/>
      <c r="AT41" s="44"/>
      <c r="AU41" s="66">
        <f>SUM(Table1[[#This Row],[Org Impact Score]:[Tools]])</f>
        <v>0</v>
      </c>
      <c r="AV41" s="45"/>
      <c r="AW41" s="34"/>
      <c r="AX41" s="34"/>
      <c r="AY41" s="34"/>
    </row>
    <row r="42" spans="1:51">
      <c r="A42" s="31" t="s">
        <v>1424</v>
      </c>
      <c r="B42" s="32" t="s">
        <v>195</v>
      </c>
      <c r="C42" s="32" t="b">
        <v>1</v>
      </c>
      <c r="D42" s="32" t="s">
        <v>1423</v>
      </c>
      <c r="E42" s="32" t="s">
        <v>1117</v>
      </c>
      <c r="F42" s="32" t="s">
        <v>1120</v>
      </c>
      <c r="G42" s="32" t="s">
        <v>1129</v>
      </c>
      <c r="H42" s="65" t="s">
        <v>1425</v>
      </c>
      <c r="I42" s="33"/>
      <c r="J42" s="33"/>
      <c r="K42" s="33"/>
      <c r="L42" s="34"/>
      <c r="M42" s="6"/>
      <c r="N42" s="6"/>
      <c r="O42" s="6"/>
      <c r="P42" s="36"/>
      <c r="Q42" s="34"/>
      <c r="R42" s="34"/>
      <c r="S42" s="34"/>
      <c r="T42" s="37"/>
      <c r="U42" s="37"/>
      <c r="V42" s="38">
        <f>DATEDIF(Table1[[#This Row],[Sponsor*]],Table1[[#This Row],[Start Date*]],"d")</f>
        <v>0</v>
      </c>
      <c r="W42" s="62">
        <f>DATEDIF([1]!Table1[[#This Row],[Start Date*]],[1]!Table1[[#This Row],[End Date*]],"d")</f>
        <v>31</v>
      </c>
      <c r="X42" s="39"/>
      <c r="Y42" s="34"/>
      <c r="Z42" s="34"/>
      <c r="AC42" s="34"/>
      <c r="AE42" s="34"/>
      <c r="AF42" s="40"/>
      <c r="AG42" s="34"/>
      <c r="AH42" s="34"/>
      <c r="AI42" s="34"/>
      <c r="AJ42" s="34"/>
      <c r="AK42" s="34">
        <f>SUBTOTAL(9,Table1[[#This Row],[Up Next Priority]:[Campus]])</f>
        <v>0</v>
      </c>
      <c r="AL42" s="52"/>
      <c r="AM42" s="42"/>
      <c r="AN42" s="43"/>
      <c r="AO42" s="44"/>
      <c r="AP42" s="44"/>
      <c r="AQ42" s="44"/>
      <c r="AR42" s="44"/>
      <c r="AS42" s="51"/>
      <c r="AT42" s="44"/>
      <c r="AU42" s="66">
        <f>SUM(Table1[[#This Row],[Org Impact Score]:[Tools]])</f>
        <v>0</v>
      </c>
      <c r="AV42" s="45"/>
      <c r="AW42" s="34"/>
      <c r="AX42" s="34"/>
      <c r="AY42" s="34"/>
    </row>
    <row r="43" spans="1:51">
      <c r="A43" s="31" t="s">
        <v>1055</v>
      </c>
      <c r="B43" s="32" t="s">
        <v>195</v>
      </c>
      <c r="C43" s="32" t="b">
        <v>0</v>
      </c>
      <c r="D43" s="32" t="s">
        <v>1054</v>
      </c>
      <c r="E43" s="32" t="s">
        <v>1117</v>
      </c>
      <c r="F43" s="32" t="s">
        <v>1120</v>
      </c>
      <c r="G43" s="32" t="s">
        <v>1125</v>
      </c>
      <c r="H43" s="65" t="s">
        <v>1056</v>
      </c>
      <c r="I43" s="33"/>
      <c r="J43" s="33"/>
      <c r="K43" s="33"/>
      <c r="L43" s="34"/>
      <c r="M43" s="6"/>
      <c r="N43" s="6"/>
      <c r="O43" s="6"/>
      <c r="P43" s="36"/>
      <c r="Q43" s="34"/>
      <c r="R43" s="34"/>
      <c r="S43" s="34"/>
      <c r="T43" s="37"/>
      <c r="U43" s="37"/>
      <c r="V43" s="38">
        <f>DATEDIF(Table1[[#This Row],[Sponsor*]],Table1[[#This Row],[Start Date*]],"d")</f>
        <v>0</v>
      </c>
      <c r="W43" s="62">
        <f>DATEDIF([1]!Table1[[#This Row],[Start Date*]],[1]!Table1[[#This Row],[End Date*]],"d")</f>
        <v>181</v>
      </c>
      <c r="X43" s="39"/>
      <c r="Y43" s="34"/>
      <c r="Z43" s="34"/>
      <c r="AC43" s="34"/>
      <c r="AE43" s="34"/>
      <c r="AF43" s="40"/>
      <c r="AG43" s="34"/>
      <c r="AH43" s="34"/>
      <c r="AI43" s="34"/>
      <c r="AJ43" s="34"/>
      <c r="AK43" s="34">
        <f>SUBTOTAL(9,Table1[[#This Row],[Up Next Priority]:[Campus]])</f>
        <v>0</v>
      </c>
      <c r="AL43" s="52"/>
      <c r="AM43" s="42"/>
      <c r="AN43" s="43"/>
      <c r="AO43" s="44"/>
      <c r="AP43" s="44"/>
      <c r="AQ43" s="44"/>
      <c r="AR43" s="44"/>
      <c r="AS43" s="51"/>
      <c r="AT43" s="44"/>
      <c r="AU43" s="66">
        <f>SUM(Table1[[#This Row],[Org Impact Score]:[Tools]])</f>
        <v>0</v>
      </c>
      <c r="AV43" s="45"/>
      <c r="AW43" s="34"/>
      <c r="AX43" s="34"/>
      <c r="AY43" s="34"/>
    </row>
    <row r="44" spans="1:51">
      <c r="A44" s="31" t="s">
        <v>1052</v>
      </c>
      <c r="B44" s="32" t="s">
        <v>195</v>
      </c>
      <c r="C44" s="32" t="b">
        <v>0</v>
      </c>
      <c r="D44" s="32" t="s">
        <v>1051</v>
      </c>
      <c r="E44" s="32" t="s">
        <v>1117</v>
      </c>
      <c r="F44" s="32" t="s">
        <v>1120</v>
      </c>
      <c r="G44" s="32" t="s">
        <v>1125</v>
      </c>
      <c r="H44" s="65" t="s">
        <v>1053</v>
      </c>
      <c r="I44" s="33"/>
      <c r="J44" s="33"/>
      <c r="K44" s="33"/>
      <c r="L44" s="34"/>
      <c r="M44" s="6"/>
      <c r="N44" s="6"/>
      <c r="O44" s="6"/>
      <c r="P44" s="36"/>
      <c r="Q44" s="34"/>
      <c r="R44" s="34"/>
      <c r="S44" s="34"/>
      <c r="T44" s="37"/>
      <c r="U44" s="37"/>
      <c r="V44" s="38">
        <f>DATEDIF(Table1[[#This Row],[Sponsor*]],Table1[[#This Row],[Start Date*]],"d")</f>
        <v>0</v>
      </c>
      <c r="W44" s="62">
        <f>DATEDIF([1]!Table1[[#This Row],[Start Date*]],[1]!Table1[[#This Row],[End Date*]],"d")</f>
        <v>92</v>
      </c>
      <c r="X44" s="39"/>
      <c r="Y44" s="34"/>
      <c r="Z44" s="34"/>
      <c r="AC44" s="34"/>
      <c r="AE44" s="34"/>
      <c r="AF44" s="40"/>
      <c r="AG44" s="34"/>
      <c r="AH44" s="34"/>
      <c r="AI44" s="34"/>
      <c r="AJ44" s="34"/>
      <c r="AK44" s="34">
        <f>SUBTOTAL(9,Table1[[#This Row],[Up Next Priority]:[Campus]])</f>
        <v>0</v>
      </c>
      <c r="AL44" s="52"/>
      <c r="AM44" s="42"/>
      <c r="AN44" s="43"/>
      <c r="AO44" s="44"/>
      <c r="AP44" s="44"/>
      <c r="AQ44" s="44"/>
      <c r="AR44" s="44"/>
      <c r="AS44" s="51"/>
      <c r="AT44" s="44"/>
      <c r="AU44" s="66">
        <f>SUM(Table1[[#This Row],[Org Impact Score]:[Tools]])</f>
        <v>0</v>
      </c>
      <c r="AV44" s="45"/>
      <c r="AW44" s="34"/>
      <c r="AX44" s="34"/>
      <c r="AY44" s="34"/>
    </row>
    <row r="45" spans="1:51">
      <c r="A45" s="31" t="s">
        <v>1049</v>
      </c>
      <c r="B45" s="32" t="s">
        <v>195</v>
      </c>
      <c r="C45" s="32" t="b">
        <v>0</v>
      </c>
      <c r="D45" s="32" t="s">
        <v>1048</v>
      </c>
      <c r="E45" s="32" t="s">
        <v>1117</v>
      </c>
      <c r="F45" s="32" t="s">
        <v>1120</v>
      </c>
      <c r="G45" s="32" t="s">
        <v>1125</v>
      </c>
      <c r="H45" s="65" t="s">
        <v>1050</v>
      </c>
      <c r="I45" s="33"/>
      <c r="J45" s="33"/>
      <c r="K45" s="33"/>
      <c r="L45" s="34"/>
      <c r="M45" s="6"/>
      <c r="N45" s="6"/>
      <c r="O45" s="6"/>
      <c r="P45" s="36"/>
      <c r="Q45" s="34"/>
      <c r="R45" s="34"/>
      <c r="S45" s="34"/>
      <c r="T45" s="37"/>
      <c r="U45" s="37"/>
      <c r="V45" s="38">
        <f>DATEDIF(Table1[[#This Row],[Sponsor*]],Table1[[#This Row],[Start Date*]],"d")</f>
        <v>0</v>
      </c>
      <c r="W45" s="62">
        <f>DATEDIF([1]!Table1[[#This Row],[Start Date*]],[1]!Table1[[#This Row],[End Date*]],"d")</f>
        <v>31</v>
      </c>
      <c r="X45" s="39"/>
      <c r="Y45" s="34"/>
      <c r="Z45" s="34"/>
      <c r="AC45" s="34"/>
      <c r="AE45" s="34"/>
      <c r="AF45" s="40"/>
      <c r="AG45" s="34"/>
      <c r="AH45" s="34"/>
      <c r="AI45" s="34"/>
      <c r="AJ45" s="34"/>
      <c r="AK45" s="34">
        <f>SUBTOTAL(9,Table1[[#This Row],[Up Next Priority]:[Campus]])</f>
        <v>0</v>
      </c>
      <c r="AL45" s="52"/>
      <c r="AM45" s="42"/>
      <c r="AN45" s="43"/>
      <c r="AO45" s="44"/>
      <c r="AP45" s="44"/>
      <c r="AQ45" s="44"/>
      <c r="AR45" s="44"/>
      <c r="AS45" s="51"/>
      <c r="AT45" s="44"/>
      <c r="AU45" s="66">
        <f>SUM(Table1[[#This Row],[Org Impact Score]:[Tools]])</f>
        <v>0</v>
      </c>
      <c r="AV45" s="45"/>
      <c r="AW45" s="34"/>
      <c r="AX45" s="34"/>
      <c r="AY45" s="34"/>
    </row>
    <row r="46" spans="1:51">
      <c r="A46" s="31" t="s">
        <v>148</v>
      </c>
      <c r="B46" s="32" t="s">
        <v>195</v>
      </c>
      <c r="C46" s="32" t="b">
        <v>0</v>
      </c>
      <c r="D46" s="32" t="s">
        <v>1046</v>
      </c>
      <c r="E46" s="32" t="s">
        <v>1117</v>
      </c>
      <c r="F46" s="32" t="s">
        <v>1120</v>
      </c>
      <c r="G46" s="32" t="s">
        <v>1125</v>
      </c>
      <c r="H46" s="65" t="s">
        <v>1047</v>
      </c>
      <c r="I46" s="33"/>
      <c r="J46" s="33"/>
      <c r="K46" s="33"/>
      <c r="L46" s="34"/>
      <c r="M46" s="6"/>
      <c r="N46" s="6"/>
      <c r="O46" s="6"/>
      <c r="P46" s="36"/>
      <c r="Q46" s="34"/>
      <c r="R46" s="34"/>
      <c r="S46" s="34"/>
      <c r="T46" s="37"/>
      <c r="U46" s="37"/>
      <c r="V46" s="38">
        <f>DATEDIF(Table1[[#This Row],[Sponsor*]],Table1[[#This Row],[Start Date*]],"d")</f>
        <v>0</v>
      </c>
      <c r="W46" s="62">
        <f>DATEDIF([1]!Table1[[#This Row],[Start Date*]],[1]!Table1[[#This Row],[End Date*]],"d")</f>
        <v>243</v>
      </c>
      <c r="X46" s="39"/>
      <c r="Y46" s="34"/>
      <c r="Z46" s="34"/>
      <c r="AC46" s="34"/>
      <c r="AE46" s="34"/>
      <c r="AF46" s="40"/>
      <c r="AG46" s="34"/>
      <c r="AH46" s="34"/>
      <c r="AI46" s="34"/>
      <c r="AJ46" s="34"/>
      <c r="AK46" s="34">
        <f>SUBTOTAL(9,Table1[[#This Row],[Up Next Priority]:[Campus]])</f>
        <v>0</v>
      </c>
      <c r="AL46" s="52"/>
      <c r="AM46" s="42"/>
      <c r="AN46" s="43"/>
      <c r="AO46" s="44"/>
      <c r="AP46" s="44"/>
      <c r="AQ46" s="44"/>
      <c r="AR46" s="44"/>
      <c r="AS46" s="51"/>
      <c r="AT46" s="44"/>
      <c r="AU46" s="66">
        <f>SUM(Table1[[#This Row],[Org Impact Score]:[Tools]])</f>
        <v>0</v>
      </c>
      <c r="AV46" s="45"/>
      <c r="AW46" s="34"/>
      <c r="AX46" s="34"/>
      <c r="AY46" s="34"/>
    </row>
    <row r="47" spans="1:51">
      <c r="A47" s="31" t="s">
        <v>1044</v>
      </c>
      <c r="B47" s="32" t="s">
        <v>195</v>
      </c>
      <c r="C47" s="32" t="b">
        <v>0</v>
      </c>
      <c r="D47" s="32" t="s">
        <v>1043</v>
      </c>
      <c r="E47" s="32" t="s">
        <v>1117</v>
      </c>
      <c r="F47" s="32" t="s">
        <v>1120</v>
      </c>
      <c r="G47" s="32" t="s">
        <v>1131</v>
      </c>
      <c r="H47" s="65" t="s">
        <v>1045</v>
      </c>
      <c r="I47" s="33"/>
      <c r="J47" s="33"/>
      <c r="K47" s="33"/>
      <c r="L47" s="34"/>
      <c r="M47" s="6"/>
      <c r="N47" s="6"/>
      <c r="O47" s="6"/>
      <c r="P47" s="36"/>
      <c r="Q47" s="34"/>
      <c r="R47" s="34"/>
      <c r="S47" s="34"/>
      <c r="T47" s="37"/>
      <c r="U47" s="37"/>
      <c r="V47" s="38">
        <f>DATEDIF(Table1[[#This Row],[Sponsor*]],Table1[[#This Row],[Start Date*]],"d")</f>
        <v>0</v>
      </c>
      <c r="W47" s="62">
        <f>DATEDIF([1]!Table1[[#This Row],[Start Date*]],[1]!Table1[[#This Row],[End Date*]],"d")</f>
        <v>89</v>
      </c>
      <c r="X47" s="39"/>
      <c r="Y47" s="34"/>
      <c r="Z47" s="34"/>
      <c r="AC47" s="34"/>
      <c r="AE47" s="34"/>
      <c r="AF47" s="40"/>
      <c r="AG47" s="34"/>
      <c r="AH47" s="34"/>
      <c r="AI47" s="34"/>
      <c r="AJ47" s="34"/>
      <c r="AK47" s="34">
        <f>SUBTOTAL(9,Table1[[#This Row],[Up Next Priority]:[Campus]])</f>
        <v>0</v>
      </c>
      <c r="AL47" s="52"/>
      <c r="AM47" s="42"/>
      <c r="AN47" s="43"/>
      <c r="AO47" s="44"/>
      <c r="AP47" s="44"/>
      <c r="AQ47" s="44"/>
      <c r="AR47" s="44"/>
      <c r="AS47" s="51"/>
      <c r="AT47" s="44"/>
      <c r="AU47" s="66">
        <f>SUM(Table1[[#This Row],[Org Impact Score]:[Tools]])</f>
        <v>0</v>
      </c>
      <c r="AV47" s="45"/>
      <c r="AW47" s="34"/>
      <c r="AX47" s="34"/>
      <c r="AY47" s="34"/>
    </row>
    <row r="48" spans="1:51">
      <c r="A48" s="31" t="s">
        <v>1041</v>
      </c>
      <c r="B48" s="32" t="s">
        <v>195</v>
      </c>
      <c r="C48" s="32" t="b">
        <v>0</v>
      </c>
      <c r="D48" s="32" t="s">
        <v>1040</v>
      </c>
      <c r="E48" s="32" t="s">
        <v>1117</v>
      </c>
      <c r="F48" s="32" t="s">
        <v>1120</v>
      </c>
      <c r="G48" s="32" t="s">
        <v>1131</v>
      </c>
      <c r="H48" s="65" t="s">
        <v>1042</v>
      </c>
      <c r="I48" s="33"/>
      <c r="J48" s="33"/>
      <c r="K48" s="33"/>
      <c r="L48" s="34"/>
      <c r="M48" s="6"/>
      <c r="N48" s="6"/>
      <c r="O48" s="6"/>
      <c r="P48" s="36"/>
      <c r="Q48" s="34"/>
      <c r="R48" s="34"/>
      <c r="S48" s="34"/>
      <c r="T48" s="37"/>
      <c r="U48" s="37"/>
      <c r="V48" s="38">
        <f>DATEDIF(Table1[[#This Row],[Sponsor*]],Table1[[#This Row],[Start Date*]],"d")</f>
        <v>0</v>
      </c>
      <c r="W48" s="62">
        <f>DATEDIF([1]!Table1[[#This Row],[Start Date*]],[1]!Table1[[#This Row],[End Date*]],"d")</f>
        <v>92</v>
      </c>
      <c r="X48" s="39"/>
      <c r="Y48" s="34"/>
      <c r="Z48" s="34"/>
      <c r="AC48" s="34"/>
      <c r="AE48" s="34"/>
      <c r="AF48" s="40"/>
      <c r="AG48" s="34"/>
      <c r="AH48" s="34"/>
      <c r="AI48" s="34"/>
      <c r="AJ48" s="34"/>
      <c r="AK48" s="34">
        <f>SUBTOTAL(9,Table1[[#This Row],[Up Next Priority]:[Campus]])</f>
        <v>0</v>
      </c>
      <c r="AL48" s="52"/>
      <c r="AM48" s="42"/>
      <c r="AN48" s="43"/>
      <c r="AO48" s="44"/>
      <c r="AP48" s="44"/>
      <c r="AQ48" s="44"/>
      <c r="AR48" s="44"/>
      <c r="AS48" s="51"/>
      <c r="AT48" s="44"/>
      <c r="AU48" s="66">
        <f>SUM(Table1[[#This Row],[Org Impact Score]:[Tools]])</f>
        <v>0</v>
      </c>
      <c r="AV48" s="45"/>
      <c r="AW48" s="34"/>
      <c r="AX48" s="34"/>
      <c r="AY48" s="34"/>
    </row>
    <row r="49" spans="1:51">
      <c r="A49" s="31" t="s">
        <v>1038</v>
      </c>
      <c r="B49" s="32" t="s">
        <v>195</v>
      </c>
      <c r="C49" s="32" t="b">
        <v>0</v>
      </c>
      <c r="D49" s="32" t="s">
        <v>1037</v>
      </c>
      <c r="E49" s="32" t="s">
        <v>1117</v>
      </c>
      <c r="F49" s="32" t="s">
        <v>1120</v>
      </c>
      <c r="G49" s="32" t="s">
        <v>1131</v>
      </c>
      <c r="H49" s="65" t="s">
        <v>1039</v>
      </c>
      <c r="I49" s="33"/>
      <c r="J49" s="33"/>
      <c r="K49" s="33"/>
      <c r="L49" s="34"/>
      <c r="M49" s="6"/>
      <c r="N49" s="6"/>
      <c r="O49" s="6"/>
      <c r="P49" s="36"/>
      <c r="Q49" s="34"/>
      <c r="R49" s="34"/>
      <c r="S49" s="34"/>
      <c r="T49" s="37"/>
      <c r="U49" s="37"/>
      <c r="V49" s="38">
        <f>DATEDIF(Table1[[#This Row],[Sponsor*]],Table1[[#This Row],[Start Date*]],"d")</f>
        <v>0</v>
      </c>
      <c r="W49" s="62">
        <f>DATEDIF([1]!Table1[[#This Row],[Start Date*]],[1]!Table1[[#This Row],[End Date*]],"d")</f>
        <v>304</v>
      </c>
      <c r="X49" s="39"/>
      <c r="Y49" s="34"/>
      <c r="Z49" s="34"/>
      <c r="AC49" s="34"/>
      <c r="AE49" s="34"/>
      <c r="AF49" s="40"/>
      <c r="AG49" s="34"/>
      <c r="AH49" s="34"/>
      <c r="AI49" s="34"/>
      <c r="AJ49" s="34"/>
      <c r="AK49" s="34">
        <f>SUBTOTAL(9,Table1[[#This Row],[Up Next Priority]:[Campus]])</f>
        <v>0</v>
      </c>
      <c r="AL49" s="52"/>
      <c r="AM49" s="42"/>
      <c r="AN49" s="43"/>
      <c r="AO49" s="44"/>
      <c r="AP49" s="44"/>
      <c r="AQ49" s="44"/>
      <c r="AR49" s="44"/>
      <c r="AS49" s="51"/>
      <c r="AT49" s="44"/>
      <c r="AU49" s="66">
        <f>SUM(Table1[[#This Row],[Org Impact Score]:[Tools]])</f>
        <v>0</v>
      </c>
      <c r="AV49" s="45"/>
      <c r="AW49" s="34"/>
      <c r="AX49" s="34"/>
      <c r="AY49" s="34"/>
    </row>
    <row r="50" spans="1:51">
      <c r="A50" s="31" t="s">
        <v>1035</v>
      </c>
      <c r="B50" s="32" t="s">
        <v>195</v>
      </c>
      <c r="C50" s="32" t="b">
        <v>0</v>
      </c>
      <c r="D50" s="56" t="s">
        <v>1034</v>
      </c>
      <c r="E50" s="32" t="s">
        <v>1117</v>
      </c>
      <c r="F50" s="32" t="s">
        <v>1120</v>
      </c>
      <c r="G50" s="32" t="s">
        <v>1133</v>
      </c>
      <c r="H50" s="65" t="s">
        <v>1036</v>
      </c>
      <c r="I50" s="33"/>
      <c r="J50" s="33"/>
      <c r="K50" s="33"/>
      <c r="L50" s="34"/>
      <c r="M50" s="6"/>
      <c r="N50" s="6"/>
      <c r="O50" s="6"/>
      <c r="P50" s="36"/>
      <c r="Q50" s="34"/>
      <c r="R50" s="34"/>
      <c r="S50" s="34"/>
      <c r="T50" s="37"/>
      <c r="U50" s="37"/>
      <c r="V50" s="38">
        <f>DATEDIF(Table1[[#This Row],[Sponsor*]],Table1[[#This Row],[Start Date*]],"d")</f>
        <v>0</v>
      </c>
      <c r="W50" s="62">
        <f>DATEDIF([1]!Table1[[#This Row],[Start Date*]],[1]!Table1[[#This Row],[End Date*]],"d")</f>
        <v>91</v>
      </c>
      <c r="X50" s="39"/>
      <c r="Y50" s="34"/>
      <c r="Z50" s="34"/>
      <c r="AC50" s="34"/>
      <c r="AE50" s="34"/>
      <c r="AF50" s="40"/>
      <c r="AG50" s="34"/>
      <c r="AH50" s="34"/>
      <c r="AI50" s="34"/>
      <c r="AJ50" s="34"/>
      <c r="AK50" s="34">
        <f>SUBTOTAL(9,Table1[[#This Row],[Up Next Priority]:[Campus]])</f>
        <v>0</v>
      </c>
      <c r="AL50" s="52"/>
      <c r="AM50" s="42"/>
      <c r="AN50" s="43"/>
      <c r="AO50" s="44"/>
      <c r="AP50" s="44"/>
      <c r="AQ50" s="44"/>
      <c r="AR50" s="44"/>
      <c r="AS50" s="51"/>
      <c r="AT50" s="44"/>
      <c r="AU50" s="66">
        <f>SUM(Table1[[#This Row],[Org Impact Score]:[Tools]])</f>
        <v>0</v>
      </c>
      <c r="AV50" s="45"/>
      <c r="AW50" s="34"/>
      <c r="AX50" s="34"/>
      <c r="AY50" s="34"/>
    </row>
    <row r="51" spans="1:51">
      <c r="A51" s="31" t="s">
        <v>1032</v>
      </c>
      <c r="B51" s="32" t="s">
        <v>195</v>
      </c>
      <c r="C51" s="32" t="b">
        <v>0</v>
      </c>
      <c r="D51" s="32" t="s">
        <v>1031</v>
      </c>
      <c r="E51" s="32" t="s">
        <v>1117</v>
      </c>
      <c r="F51" s="32" t="s">
        <v>1120</v>
      </c>
      <c r="G51" s="32" t="s">
        <v>1126</v>
      </c>
      <c r="H51" s="65" t="s">
        <v>1033</v>
      </c>
      <c r="I51" s="33"/>
      <c r="J51" s="33"/>
      <c r="K51" s="33"/>
      <c r="L51" s="34"/>
      <c r="M51" s="6"/>
      <c r="N51" s="6"/>
      <c r="O51" s="6"/>
      <c r="P51" s="36"/>
      <c r="Q51" s="34"/>
      <c r="R51" s="34"/>
      <c r="S51" s="34"/>
      <c r="T51" s="37"/>
      <c r="U51" s="37"/>
      <c r="V51" s="38">
        <f>DATEDIF(Table1[[#This Row],[Sponsor*]],Table1[[#This Row],[Start Date*]],"d")</f>
        <v>0</v>
      </c>
      <c r="W51" s="62">
        <f>DATEDIF([1]!Table1[[#This Row],[Start Date*]],[1]!Table1[[#This Row],[End Date*]],"d")</f>
        <v>153</v>
      </c>
      <c r="X51" s="39"/>
      <c r="Y51" s="34"/>
      <c r="Z51" s="34"/>
      <c r="AC51" s="34"/>
      <c r="AE51" s="34"/>
      <c r="AF51" s="40"/>
      <c r="AG51" s="34"/>
      <c r="AH51" s="34"/>
      <c r="AI51" s="34"/>
      <c r="AJ51" s="34"/>
      <c r="AK51" s="34">
        <f>SUBTOTAL(9,Table1[[#This Row],[Up Next Priority]:[Campus]])</f>
        <v>0</v>
      </c>
      <c r="AL51" s="52"/>
      <c r="AM51" s="42"/>
      <c r="AN51" s="43"/>
      <c r="AO51" s="44"/>
      <c r="AP51" s="44"/>
      <c r="AQ51" s="44"/>
      <c r="AR51" s="44"/>
      <c r="AS51" s="51"/>
      <c r="AT51" s="44"/>
      <c r="AU51" s="66">
        <f>SUM(Table1[[#This Row],[Org Impact Score]:[Tools]])</f>
        <v>0</v>
      </c>
      <c r="AV51" s="45"/>
      <c r="AW51" s="34"/>
      <c r="AX51" s="34"/>
      <c r="AY51" s="34"/>
    </row>
    <row r="52" spans="1:51">
      <c r="A52" s="31" t="s">
        <v>1208</v>
      </c>
      <c r="B52" s="32" t="s">
        <v>195</v>
      </c>
      <c r="C52" s="32" t="b">
        <v>0</v>
      </c>
      <c r="D52" s="32" t="s">
        <v>1207</v>
      </c>
      <c r="E52" s="32" t="s">
        <v>1117</v>
      </c>
      <c r="F52" s="32" t="s">
        <v>1120</v>
      </c>
      <c r="G52" s="32" t="s">
        <v>1126</v>
      </c>
      <c r="H52" s="65" t="s">
        <v>1209</v>
      </c>
      <c r="I52" s="33"/>
      <c r="J52" s="33"/>
      <c r="K52" s="33"/>
      <c r="L52" s="34"/>
      <c r="M52" s="6"/>
      <c r="N52" s="6"/>
      <c r="O52" s="6"/>
      <c r="P52" s="36"/>
      <c r="Q52" s="34"/>
      <c r="R52" s="34"/>
      <c r="S52" s="34"/>
      <c r="T52" s="37"/>
      <c r="U52" s="37"/>
      <c r="V52" s="38">
        <f>DATEDIF(Table1[[#This Row],[Sponsor*]],Table1[[#This Row],[Start Date*]],"d")</f>
        <v>0</v>
      </c>
      <c r="W52" s="62">
        <f>DATEDIF([1]!Table1[[#This Row],[Start Date*]],[1]!Table1[[#This Row],[End Date*]],"d")</f>
        <v>912</v>
      </c>
      <c r="X52" s="39"/>
      <c r="Y52" s="34"/>
      <c r="Z52" s="34"/>
      <c r="AC52" s="34"/>
      <c r="AE52" s="34"/>
      <c r="AF52" s="40"/>
      <c r="AG52" s="34"/>
      <c r="AH52" s="34"/>
      <c r="AI52" s="34"/>
      <c r="AJ52" s="34"/>
      <c r="AK52" s="34">
        <f>SUBTOTAL(9,Table1[[#This Row],[Up Next Priority]:[Campus]])</f>
        <v>0</v>
      </c>
      <c r="AL52" s="52"/>
      <c r="AM52" s="42"/>
      <c r="AN52" s="43"/>
      <c r="AO52" s="44"/>
      <c r="AP52" s="44"/>
      <c r="AQ52" s="44"/>
      <c r="AR52" s="44"/>
      <c r="AS52" s="51"/>
      <c r="AT52" s="44"/>
      <c r="AU52" s="66">
        <f>SUM(Table1[[#This Row],[Org Impact Score]:[Tools]])</f>
        <v>0</v>
      </c>
      <c r="AV52" s="45"/>
      <c r="AW52" s="34"/>
      <c r="AX52" s="34"/>
      <c r="AY52" s="34"/>
    </row>
    <row r="53" spans="1:51">
      <c r="A53" s="31" t="s">
        <v>1205</v>
      </c>
      <c r="B53" s="32" t="s">
        <v>195</v>
      </c>
      <c r="C53" s="32" t="b">
        <v>0</v>
      </c>
      <c r="D53" s="32" t="s">
        <v>1204</v>
      </c>
      <c r="E53" s="32" t="s">
        <v>1117</v>
      </c>
      <c r="F53" s="32" t="s">
        <v>1120</v>
      </c>
      <c r="G53" s="32" t="s">
        <v>1126</v>
      </c>
      <c r="H53" s="65" t="s">
        <v>1206</v>
      </c>
      <c r="I53" s="33"/>
      <c r="J53" s="33"/>
      <c r="K53" s="33"/>
      <c r="L53" s="34"/>
      <c r="M53" s="6"/>
      <c r="N53" s="6"/>
      <c r="O53" s="6"/>
      <c r="P53" s="36"/>
      <c r="Q53" s="34"/>
      <c r="R53" s="34"/>
      <c r="S53" s="34"/>
      <c r="T53" s="37"/>
      <c r="U53" s="37"/>
      <c r="V53" s="38">
        <f>DATEDIF(Table1[[#This Row],[Sponsor*]],Table1[[#This Row],[Start Date*]],"d")</f>
        <v>0</v>
      </c>
      <c r="W53" s="62">
        <f>DATEDIF([1]!Table1[[#This Row],[Start Date*]],[1]!Table1[[#This Row],[End Date*]],"d")</f>
        <v>92</v>
      </c>
      <c r="X53" s="39"/>
      <c r="Y53" s="34"/>
      <c r="Z53" s="34"/>
      <c r="AC53" s="34"/>
      <c r="AE53" s="34"/>
      <c r="AF53" s="40"/>
      <c r="AG53" s="34"/>
      <c r="AH53" s="34"/>
      <c r="AI53" s="34"/>
      <c r="AJ53" s="34"/>
      <c r="AK53" s="34">
        <f>SUBTOTAL(9,Table1[[#This Row],[Up Next Priority]:[Campus]])</f>
        <v>0</v>
      </c>
      <c r="AL53" s="52"/>
      <c r="AM53" s="42"/>
      <c r="AN53" s="43"/>
      <c r="AO53" s="44"/>
      <c r="AP53" s="44"/>
      <c r="AQ53" s="44"/>
      <c r="AR53" s="44"/>
      <c r="AS53" s="51"/>
      <c r="AT53" s="44"/>
      <c r="AU53" s="66">
        <f>SUM(Table1[[#This Row],[Org Impact Score]:[Tools]])</f>
        <v>0</v>
      </c>
      <c r="AV53" s="45"/>
      <c r="AW53" s="34"/>
      <c r="AX53" s="34"/>
      <c r="AY53" s="34"/>
    </row>
    <row r="54" spans="1:51">
      <c r="A54" s="31" t="s">
        <v>1202</v>
      </c>
      <c r="B54" s="32" t="s">
        <v>195</v>
      </c>
      <c r="C54" s="32" t="b">
        <v>0</v>
      </c>
      <c r="D54" s="32" t="s">
        <v>1201</v>
      </c>
      <c r="E54" s="32" t="s">
        <v>1117</v>
      </c>
      <c r="F54" s="32" t="s">
        <v>1120</v>
      </c>
      <c r="G54" s="32" t="s">
        <v>1126</v>
      </c>
      <c r="H54" s="65" t="s">
        <v>1203</v>
      </c>
      <c r="I54" s="33"/>
      <c r="J54" s="33"/>
      <c r="K54" s="33"/>
      <c r="L54" s="34"/>
      <c r="M54" s="6"/>
      <c r="N54" s="6"/>
      <c r="O54" s="6"/>
      <c r="P54" s="36"/>
      <c r="Q54" s="34"/>
      <c r="R54" s="34"/>
      <c r="S54" s="34"/>
      <c r="T54" s="37"/>
      <c r="U54" s="37"/>
      <c r="V54" s="38">
        <f>DATEDIF(Table1[[#This Row],[Sponsor*]],Table1[[#This Row],[Start Date*]],"d")</f>
        <v>0</v>
      </c>
      <c r="W54" s="62">
        <f>DATEDIF([1]!Table1[[#This Row],[Start Date*]],[1]!Table1[[#This Row],[End Date*]],"d")</f>
        <v>92</v>
      </c>
      <c r="X54" s="39"/>
      <c r="Y54" s="34"/>
      <c r="Z54" s="34"/>
      <c r="AC54" s="34"/>
      <c r="AE54" s="34"/>
      <c r="AF54" s="40"/>
      <c r="AG54" s="34"/>
      <c r="AH54" s="34"/>
      <c r="AI54" s="34"/>
      <c r="AJ54" s="34"/>
      <c r="AK54" s="34">
        <f>SUBTOTAL(9,Table1[[#This Row],[Up Next Priority]:[Campus]])</f>
        <v>0</v>
      </c>
      <c r="AL54" s="52"/>
      <c r="AM54" s="42"/>
      <c r="AN54" s="43"/>
      <c r="AO54" s="44"/>
      <c r="AP54" s="44"/>
      <c r="AQ54" s="44"/>
      <c r="AR54" s="44"/>
      <c r="AS54" s="51"/>
      <c r="AT54" s="44"/>
      <c r="AU54" s="66">
        <f>SUM(Table1[[#This Row],[Org Impact Score]:[Tools]])</f>
        <v>0</v>
      </c>
      <c r="AV54" s="45"/>
      <c r="AW54" s="34"/>
      <c r="AX54" s="34"/>
      <c r="AY54" s="34"/>
    </row>
    <row r="55" spans="1:51">
      <c r="A55" s="31" t="s">
        <v>1029</v>
      </c>
      <c r="B55" s="32" t="s">
        <v>195</v>
      </c>
      <c r="C55" s="32" t="b">
        <v>0</v>
      </c>
      <c r="D55" s="32" t="s">
        <v>1028</v>
      </c>
      <c r="E55" s="32" t="s">
        <v>1117</v>
      </c>
      <c r="F55" s="32" t="s">
        <v>1120</v>
      </c>
      <c r="G55" s="32" t="s">
        <v>1125</v>
      </c>
      <c r="H55" s="65" t="s">
        <v>1030</v>
      </c>
      <c r="I55" s="33"/>
      <c r="J55" s="33"/>
      <c r="K55" s="33"/>
      <c r="L55" s="34"/>
      <c r="M55" s="6"/>
      <c r="N55" s="6"/>
      <c r="O55" s="6"/>
      <c r="P55" s="36"/>
      <c r="Q55" s="34"/>
      <c r="R55" s="34"/>
      <c r="S55" s="34"/>
      <c r="T55" s="37"/>
      <c r="U55" s="37"/>
      <c r="V55" s="38">
        <f>DATEDIF(Table1[[#This Row],[Sponsor*]],Table1[[#This Row],[Start Date*]],"d")</f>
        <v>0</v>
      </c>
      <c r="W55" s="62">
        <f>DATEDIF([1]!Table1[[#This Row],[Start Date*]],[1]!Table1[[#This Row],[End Date*]],"d")</f>
        <v>31</v>
      </c>
      <c r="X55" s="39"/>
      <c r="Y55" s="34"/>
      <c r="Z55" s="34"/>
      <c r="AC55" s="34"/>
      <c r="AE55" s="34"/>
      <c r="AF55" s="40"/>
      <c r="AG55" s="34"/>
      <c r="AH55" s="34"/>
      <c r="AI55" s="34"/>
      <c r="AJ55" s="34"/>
      <c r="AK55" s="34">
        <f>SUBTOTAL(9,Table1[[#This Row],[Up Next Priority]:[Campus]])</f>
        <v>0</v>
      </c>
      <c r="AL55" s="52"/>
      <c r="AM55" s="42"/>
      <c r="AN55" s="43"/>
      <c r="AO55" s="44"/>
      <c r="AP55" s="44"/>
      <c r="AQ55" s="44"/>
      <c r="AR55" s="44"/>
      <c r="AS55" s="51"/>
      <c r="AT55" s="44"/>
      <c r="AU55" s="66">
        <f>SUM(Table1[[#This Row],[Org Impact Score]:[Tools]])</f>
        <v>0</v>
      </c>
      <c r="AV55" s="45"/>
      <c r="AW55" s="34"/>
      <c r="AX55" s="34"/>
      <c r="AY55" s="34"/>
    </row>
    <row r="56" spans="1:51">
      <c r="A56" s="31" t="s">
        <v>1199</v>
      </c>
      <c r="B56" s="32" t="s">
        <v>195</v>
      </c>
      <c r="C56" s="32" t="b">
        <v>0</v>
      </c>
      <c r="D56" s="32" t="s">
        <v>1198</v>
      </c>
      <c r="E56" s="32" t="s">
        <v>1117</v>
      </c>
      <c r="F56" s="32" t="s">
        <v>1120</v>
      </c>
      <c r="G56" s="32" t="s">
        <v>1126</v>
      </c>
      <c r="H56" s="65" t="s">
        <v>1200</v>
      </c>
      <c r="I56" s="33"/>
      <c r="J56" s="33"/>
      <c r="K56" s="33"/>
      <c r="L56" s="34"/>
      <c r="M56" s="6"/>
      <c r="N56" s="6"/>
      <c r="O56" s="6"/>
      <c r="P56" s="36"/>
      <c r="Q56" s="34"/>
      <c r="R56" s="34"/>
      <c r="S56" s="34"/>
      <c r="T56" s="37"/>
      <c r="U56" s="37"/>
      <c r="V56" s="38">
        <f>DATEDIF(Table1[[#This Row],[Sponsor*]],Table1[[#This Row],[Start Date*]],"d")</f>
        <v>0</v>
      </c>
      <c r="W56" s="62">
        <f>DATEDIF([1]!Table1[[#This Row],[Start Date*]],[1]!Table1[[#This Row],[End Date*]],"d")</f>
        <v>14</v>
      </c>
      <c r="X56" s="39"/>
      <c r="Y56" s="34"/>
      <c r="Z56" s="34"/>
      <c r="AC56" s="34"/>
      <c r="AE56" s="34"/>
      <c r="AF56" s="40"/>
      <c r="AG56" s="34"/>
      <c r="AH56" s="34"/>
      <c r="AI56" s="34"/>
      <c r="AJ56" s="34"/>
      <c r="AK56" s="34">
        <f>SUBTOTAL(9,Table1[[#This Row],[Up Next Priority]:[Campus]])</f>
        <v>0</v>
      </c>
      <c r="AL56" s="52"/>
      <c r="AM56" s="42"/>
      <c r="AN56" s="43"/>
      <c r="AO56" s="44"/>
      <c r="AP56" s="44"/>
      <c r="AQ56" s="44"/>
      <c r="AR56" s="44"/>
      <c r="AS56" s="51"/>
      <c r="AT56" s="44"/>
      <c r="AU56" s="66">
        <f>SUM(Table1[[#This Row],[Org Impact Score]:[Tools]])</f>
        <v>0</v>
      </c>
      <c r="AV56" s="45"/>
      <c r="AW56" s="34"/>
      <c r="AX56" s="34"/>
      <c r="AY56" s="34"/>
    </row>
    <row r="57" spans="1:51">
      <c r="A57" s="31" t="s">
        <v>1026</v>
      </c>
      <c r="B57" s="32" t="s">
        <v>195</v>
      </c>
      <c r="C57" s="32" t="b">
        <v>0</v>
      </c>
      <c r="D57" s="32" t="s">
        <v>1025</v>
      </c>
      <c r="E57" s="32" t="s">
        <v>1117</v>
      </c>
      <c r="F57" s="32" t="s">
        <v>1119</v>
      </c>
      <c r="G57" s="32"/>
      <c r="H57" s="65" t="s">
        <v>1027</v>
      </c>
      <c r="I57" s="33"/>
      <c r="J57" s="33"/>
      <c r="K57" s="33"/>
      <c r="L57" s="34"/>
      <c r="M57" s="6"/>
      <c r="N57" s="6"/>
      <c r="O57" s="6"/>
      <c r="P57" s="36"/>
      <c r="Q57" s="34"/>
      <c r="R57" s="34"/>
      <c r="S57" s="34"/>
      <c r="T57" s="37"/>
      <c r="U57" s="37"/>
      <c r="V57" s="38">
        <f>DATEDIF(Table1[[#This Row],[Sponsor*]],Table1[[#This Row],[Start Date*]],"d")</f>
        <v>0</v>
      </c>
      <c r="W57" s="62" t="e">
        <f>DATEDIF([1]!Table1[[#This Row],[Start Date*]],[1]!Table1[[#This Row],[End Date*]],"d")</f>
        <v>#NUM!</v>
      </c>
      <c r="X57" s="39"/>
      <c r="Y57" s="34"/>
      <c r="Z57" s="34"/>
      <c r="AC57" s="34"/>
      <c r="AE57" s="34"/>
      <c r="AF57" s="40"/>
      <c r="AG57" s="34"/>
      <c r="AH57" s="34"/>
      <c r="AI57" s="34"/>
      <c r="AJ57" s="34"/>
      <c r="AK57" s="34">
        <f>SUBTOTAL(9,Table1[[#This Row],[Up Next Priority]:[Campus]])</f>
        <v>0</v>
      </c>
      <c r="AL57" s="52"/>
      <c r="AM57" s="42"/>
      <c r="AN57" s="43"/>
      <c r="AO57" s="44"/>
      <c r="AP57" s="44"/>
      <c r="AQ57" s="44"/>
      <c r="AR57" s="44"/>
      <c r="AS57" s="51"/>
      <c r="AT57" s="44"/>
      <c r="AU57" s="66">
        <f>SUM(Table1[[#This Row],[Org Impact Score]:[Tools]])</f>
        <v>0</v>
      </c>
      <c r="AV57" s="45"/>
      <c r="AW57" s="34"/>
      <c r="AX57" s="34"/>
      <c r="AY57" s="34"/>
    </row>
    <row r="58" spans="1:51">
      <c r="A58" s="31" t="s">
        <v>1023</v>
      </c>
      <c r="B58" s="32" t="s">
        <v>195</v>
      </c>
      <c r="C58" s="32" t="b">
        <v>0</v>
      </c>
      <c r="D58" s="32" t="s">
        <v>1022</v>
      </c>
      <c r="E58" s="32" t="s">
        <v>1117</v>
      </c>
      <c r="F58" s="32" t="s">
        <v>1119</v>
      </c>
      <c r="G58" s="32" t="s">
        <v>1126</v>
      </c>
      <c r="H58" s="65" t="s">
        <v>1024</v>
      </c>
      <c r="I58" s="33"/>
      <c r="J58" s="33"/>
      <c r="K58" s="33"/>
      <c r="L58" s="34"/>
      <c r="M58" s="6"/>
      <c r="N58" s="6"/>
      <c r="O58" s="6"/>
      <c r="P58" s="36"/>
      <c r="Q58" s="34"/>
      <c r="R58" s="34"/>
      <c r="S58" s="34"/>
      <c r="T58" s="37"/>
      <c r="U58" s="37"/>
      <c r="V58" s="38">
        <f>DATEDIF(Table1[[#This Row],[Sponsor*]],Table1[[#This Row],[Start Date*]],"d")</f>
        <v>0</v>
      </c>
      <c r="W58" s="62" t="e">
        <f>DATEDIF([1]!Table1[[#This Row],[Start Date*]],[1]!Table1[[#This Row],[End Date*]],"d")</f>
        <v>#VALUE!</v>
      </c>
      <c r="X58" s="39"/>
      <c r="Y58" s="34"/>
      <c r="Z58" s="34"/>
      <c r="AC58" s="34"/>
      <c r="AE58" s="34"/>
      <c r="AF58" s="40"/>
      <c r="AG58" s="34"/>
      <c r="AH58" s="34"/>
      <c r="AI58" s="34"/>
      <c r="AJ58" s="34"/>
      <c r="AK58" s="34">
        <f>SUBTOTAL(9,Table1[[#This Row],[Up Next Priority]:[Campus]])</f>
        <v>0</v>
      </c>
      <c r="AL58" s="52"/>
      <c r="AM58" s="42"/>
      <c r="AN58" s="43"/>
      <c r="AO58" s="44"/>
      <c r="AP58" s="44"/>
      <c r="AQ58" s="44"/>
      <c r="AR58" s="44"/>
      <c r="AS58" s="51"/>
      <c r="AT58" s="44"/>
      <c r="AU58" s="66">
        <f>SUM(Table1[[#This Row],[Org Impact Score]:[Tools]])</f>
        <v>0</v>
      </c>
      <c r="AV58" s="45"/>
      <c r="AW58" s="34"/>
      <c r="AX58" s="34"/>
      <c r="AY58" s="34"/>
    </row>
    <row r="59" spans="1:51">
      <c r="A59" s="31" t="s">
        <v>1141</v>
      </c>
      <c r="B59" s="32" t="s">
        <v>195</v>
      </c>
      <c r="C59" s="32" t="b">
        <v>0</v>
      </c>
      <c r="D59" s="32" t="s">
        <v>1140</v>
      </c>
      <c r="E59" s="32" t="s">
        <v>1117</v>
      </c>
      <c r="F59" s="32" t="s">
        <v>893</v>
      </c>
      <c r="G59" s="32" t="s">
        <v>905</v>
      </c>
      <c r="H59" s="65" t="s">
        <v>1142</v>
      </c>
      <c r="I59" s="33"/>
      <c r="J59" s="33"/>
      <c r="K59" s="33"/>
      <c r="L59" s="34"/>
      <c r="M59" s="6"/>
      <c r="N59" s="6"/>
      <c r="O59" s="6"/>
      <c r="P59" s="36"/>
      <c r="Q59" s="34"/>
      <c r="R59" s="34"/>
      <c r="S59" s="34"/>
      <c r="T59" s="37"/>
      <c r="U59" s="37"/>
      <c r="V59" s="38">
        <f>DATEDIF(Table1[[#This Row],[Sponsor*]],Table1[[#This Row],[Start Date*]],"d")</f>
        <v>0</v>
      </c>
      <c r="W59" s="62" t="e">
        <f>DATEDIF([1]!Table1[[#This Row],[Start Date*]],[1]!Table1[[#This Row],[End Date*]],"d")</f>
        <v>#VALUE!</v>
      </c>
      <c r="X59" s="39"/>
      <c r="Y59" s="34"/>
      <c r="Z59" s="34"/>
      <c r="AC59" s="34"/>
      <c r="AE59" s="34"/>
      <c r="AF59" s="40"/>
      <c r="AG59" s="34"/>
      <c r="AH59" s="34"/>
      <c r="AI59" s="34"/>
      <c r="AJ59" s="34"/>
      <c r="AK59" s="34">
        <f>SUBTOTAL(9,Table1[[#This Row],[Up Next Priority]:[Campus]])</f>
        <v>0</v>
      </c>
      <c r="AL59" s="52"/>
      <c r="AM59" s="42"/>
      <c r="AN59" s="43"/>
      <c r="AO59" s="44"/>
      <c r="AP59" s="44"/>
      <c r="AQ59" s="44"/>
      <c r="AR59" s="44"/>
      <c r="AS59" s="51"/>
      <c r="AT59" s="44"/>
      <c r="AU59" s="66">
        <f>SUM(Table1[[#This Row],[Org Impact Score]:[Tools]])</f>
        <v>0</v>
      </c>
      <c r="AV59" s="45"/>
      <c r="AW59" s="34"/>
      <c r="AX59" s="34"/>
      <c r="AY59" s="34"/>
    </row>
    <row r="60" spans="1:51">
      <c r="A60" s="31" t="s">
        <v>1020</v>
      </c>
      <c r="B60" s="32" t="s">
        <v>195</v>
      </c>
      <c r="C60" s="32" t="b">
        <v>0</v>
      </c>
      <c r="D60" s="32" t="s">
        <v>1019</v>
      </c>
      <c r="E60" s="32" t="s">
        <v>1117</v>
      </c>
      <c r="F60" s="32" t="s">
        <v>893</v>
      </c>
      <c r="G60" s="32" t="s">
        <v>1126</v>
      </c>
      <c r="H60" s="65" t="s">
        <v>1021</v>
      </c>
      <c r="I60" s="33"/>
      <c r="J60" s="33"/>
      <c r="K60" s="33"/>
      <c r="L60" s="34"/>
      <c r="M60" s="6"/>
      <c r="N60" s="6"/>
      <c r="O60" s="6"/>
      <c r="P60" s="36"/>
      <c r="Q60" s="34"/>
      <c r="R60" s="34"/>
      <c r="S60" s="34"/>
      <c r="T60" s="37"/>
      <c r="U60" s="37"/>
      <c r="V60" s="38">
        <f>DATEDIF(Table1[[#This Row],[Sponsor*]],Table1[[#This Row],[Start Date*]],"d")</f>
        <v>0</v>
      </c>
      <c r="W60" s="62" t="e">
        <f>DATEDIF([1]!Table1[[#This Row],[Start Date*]],[1]!Table1[[#This Row],[End Date*]],"d")</f>
        <v>#VALUE!</v>
      </c>
      <c r="X60" s="39"/>
      <c r="Y60" s="34"/>
      <c r="Z60" s="34"/>
      <c r="AC60" s="34"/>
      <c r="AE60" s="34"/>
      <c r="AF60" s="40"/>
      <c r="AG60" s="34"/>
      <c r="AH60" s="34"/>
      <c r="AI60" s="34"/>
      <c r="AJ60" s="34"/>
      <c r="AK60" s="34">
        <f>SUBTOTAL(9,Table1[[#This Row],[Up Next Priority]:[Campus]])</f>
        <v>0</v>
      </c>
      <c r="AL60" s="52"/>
      <c r="AM60" s="42"/>
      <c r="AN60" s="43"/>
      <c r="AO60" s="44"/>
      <c r="AP60" s="44"/>
      <c r="AQ60" s="44"/>
      <c r="AR60" s="44"/>
      <c r="AS60" s="51"/>
      <c r="AT60" s="44"/>
      <c r="AU60" s="66">
        <f>SUM(Table1[[#This Row],[Org Impact Score]:[Tools]])</f>
        <v>0</v>
      </c>
      <c r="AV60" s="45"/>
      <c r="AW60" s="34"/>
      <c r="AX60" s="34"/>
      <c r="AY60" s="34"/>
    </row>
    <row r="61" spans="1:51">
      <c r="A61" s="31" t="s">
        <v>1419</v>
      </c>
      <c r="B61" s="32" t="s">
        <v>195</v>
      </c>
      <c r="C61" s="32" t="b">
        <v>1</v>
      </c>
      <c r="D61" s="32" t="s">
        <v>1418</v>
      </c>
      <c r="E61" s="32" t="s">
        <v>1117</v>
      </c>
      <c r="F61" s="32" t="s">
        <v>893</v>
      </c>
      <c r="G61" s="32" t="s">
        <v>1126</v>
      </c>
      <c r="H61" s="65" t="s">
        <v>1420</v>
      </c>
      <c r="I61" s="33"/>
      <c r="J61" s="33"/>
      <c r="K61" s="33"/>
      <c r="L61" s="34"/>
      <c r="M61" s="6"/>
      <c r="N61" s="6"/>
      <c r="O61" s="6"/>
      <c r="P61" s="36"/>
      <c r="Q61" s="34"/>
      <c r="R61" s="34"/>
      <c r="S61" s="34"/>
      <c r="T61" s="37"/>
      <c r="U61" s="37"/>
      <c r="V61" s="38">
        <f>DATEDIF(Table1[[#This Row],[Sponsor*]],Table1[[#This Row],[Start Date*]],"d")</f>
        <v>0</v>
      </c>
      <c r="W61" s="62" t="e">
        <f>DATEDIF([1]!Table1[[#This Row],[Start Date*]],[1]!Table1[[#This Row],[End Date*]],"d")</f>
        <v>#VALUE!</v>
      </c>
      <c r="X61" s="39"/>
      <c r="Y61" s="34"/>
      <c r="Z61" s="34"/>
      <c r="AC61" s="34"/>
      <c r="AE61" s="34"/>
      <c r="AF61" s="40"/>
      <c r="AG61" s="34"/>
      <c r="AH61" s="34"/>
      <c r="AI61" s="34"/>
      <c r="AJ61" s="34"/>
      <c r="AK61" s="34">
        <f>SUBTOTAL(9,Table1[[#This Row],[Up Next Priority]:[Campus]])</f>
        <v>0</v>
      </c>
      <c r="AL61" s="52"/>
      <c r="AM61" s="42"/>
      <c r="AN61" s="43"/>
      <c r="AO61" s="44"/>
      <c r="AP61" s="44"/>
      <c r="AQ61" s="44"/>
      <c r="AR61" s="44"/>
      <c r="AS61" s="51"/>
      <c r="AT61" s="44"/>
      <c r="AU61" s="66">
        <f>SUM(Table1[[#This Row],[Org Impact Score]:[Tools]])</f>
        <v>0</v>
      </c>
      <c r="AV61" s="45"/>
      <c r="AW61" s="34"/>
      <c r="AX61" s="34"/>
      <c r="AY61" s="34"/>
    </row>
    <row r="62" spans="1:51">
      <c r="A62" s="31" t="s">
        <v>1416</v>
      </c>
      <c r="B62" s="32" t="s">
        <v>195</v>
      </c>
      <c r="C62" s="32" t="b">
        <v>1</v>
      </c>
      <c r="D62" s="32" t="s">
        <v>1415</v>
      </c>
      <c r="E62" s="32" t="s">
        <v>1117</v>
      </c>
      <c r="F62" s="32" t="s">
        <v>893</v>
      </c>
      <c r="G62" s="32" t="s">
        <v>1135</v>
      </c>
      <c r="H62" s="65" t="s">
        <v>1417</v>
      </c>
      <c r="I62" s="33"/>
      <c r="J62" s="33"/>
      <c r="K62" s="33"/>
      <c r="L62" s="34"/>
      <c r="M62" s="6"/>
      <c r="N62" s="6"/>
      <c r="O62" s="6"/>
      <c r="P62" s="36"/>
      <c r="Q62" s="34"/>
      <c r="R62" s="34"/>
      <c r="S62" s="34"/>
      <c r="T62" s="37"/>
      <c r="U62" s="37"/>
      <c r="V62" s="38">
        <f>DATEDIF(Table1[[#This Row],[Sponsor*]],Table1[[#This Row],[Start Date*]],"d")</f>
        <v>0</v>
      </c>
      <c r="W62" s="62" t="e">
        <f>DATEDIF([1]!Table1[[#This Row],[Start Date*]],[1]!Table1[[#This Row],[End Date*]],"d")</f>
        <v>#VALUE!</v>
      </c>
      <c r="X62" s="39"/>
      <c r="Y62" s="34"/>
      <c r="Z62" s="34"/>
      <c r="AC62" s="34"/>
      <c r="AE62" s="34"/>
      <c r="AF62" s="40"/>
      <c r="AG62" s="34"/>
      <c r="AH62" s="34"/>
      <c r="AI62" s="34"/>
      <c r="AJ62" s="34"/>
      <c r="AK62" s="34">
        <f>SUBTOTAL(9,Table1[[#This Row],[Up Next Priority]:[Campus]])</f>
        <v>0</v>
      </c>
      <c r="AL62" s="52"/>
      <c r="AM62" s="42"/>
      <c r="AN62" s="43"/>
      <c r="AO62" s="44"/>
      <c r="AP62" s="44"/>
      <c r="AQ62" s="44"/>
      <c r="AR62" s="44"/>
      <c r="AS62" s="51"/>
      <c r="AT62" s="44"/>
      <c r="AU62" s="66">
        <f>SUM(Table1[[#This Row],[Org Impact Score]:[Tools]])</f>
        <v>0</v>
      </c>
      <c r="AV62" s="45"/>
      <c r="AW62" s="34"/>
      <c r="AX62" s="34"/>
      <c r="AY62" s="34"/>
    </row>
    <row r="63" spans="1:51">
      <c r="A63" s="31" t="s">
        <v>1413</v>
      </c>
      <c r="B63" s="32" t="s">
        <v>195</v>
      </c>
      <c r="C63" s="32" t="b">
        <v>1</v>
      </c>
      <c r="D63" s="32" t="s">
        <v>1412</v>
      </c>
      <c r="E63" s="32" t="s">
        <v>1117</v>
      </c>
      <c r="F63" s="32" t="s">
        <v>893</v>
      </c>
      <c r="G63" s="32" t="s">
        <v>1126</v>
      </c>
      <c r="H63" s="65" t="s">
        <v>1414</v>
      </c>
      <c r="I63" s="33"/>
      <c r="J63" s="33"/>
      <c r="K63" s="33"/>
      <c r="L63" s="34"/>
      <c r="M63" s="6"/>
      <c r="N63" s="6"/>
      <c r="O63" s="6"/>
      <c r="P63" s="36"/>
      <c r="Q63" s="34"/>
      <c r="R63" s="34"/>
      <c r="S63" s="34"/>
      <c r="T63" s="37"/>
      <c r="U63" s="37"/>
      <c r="V63" s="38">
        <f>DATEDIF(Table1[[#This Row],[Sponsor*]],Table1[[#This Row],[Start Date*]],"d")</f>
        <v>0</v>
      </c>
      <c r="W63" s="62" t="e">
        <f>DATEDIF([1]!Table1[[#This Row],[Start Date*]],[1]!Table1[[#This Row],[End Date*]],"d")</f>
        <v>#VALUE!</v>
      </c>
      <c r="X63" s="39"/>
      <c r="Y63" s="34"/>
      <c r="Z63" s="34"/>
      <c r="AC63" s="34"/>
      <c r="AE63" s="34"/>
      <c r="AF63" s="40"/>
      <c r="AG63" s="34"/>
      <c r="AH63" s="34"/>
      <c r="AI63" s="34"/>
      <c r="AJ63" s="34"/>
      <c r="AK63" s="34">
        <f>SUBTOTAL(9,Table1[[#This Row],[Up Next Priority]:[Campus]])</f>
        <v>0</v>
      </c>
      <c r="AL63" s="52"/>
      <c r="AM63" s="42"/>
      <c r="AN63" s="43"/>
      <c r="AO63" s="44"/>
      <c r="AP63" s="44"/>
      <c r="AQ63" s="44"/>
      <c r="AR63" s="44"/>
      <c r="AS63" s="51"/>
      <c r="AT63" s="44"/>
      <c r="AU63" s="66">
        <f>SUM(Table1[[#This Row],[Org Impact Score]:[Tools]])</f>
        <v>0</v>
      </c>
      <c r="AV63" s="45"/>
      <c r="AW63" s="34"/>
      <c r="AX63" s="34"/>
      <c r="AY63" s="34"/>
    </row>
    <row r="64" spans="1:51">
      <c r="A64" s="31" t="s">
        <v>1410</v>
      </c>
      <c r="B64" s="32" t="s">
        <v>195</v>
      </c>
      <c r="C64" s="32" t="b">
        <v>1</v>
      </c>
      <c r="D64" s="32" t="s">
        <v>1409</v>
      </c>
      <c r="E64" s="32" t="s">
        <v>1117</v>
      </c>
      <c r="F64" s="32" t="s">
        <v>893</v>
      </c>
      <c r="G64" s="32" t="s">
        <v>1126</v>
      </c>
      <c r="H64" s="65" t="s">
        <v>1411</v>
      </c>
      <c r="I64" s="33"/>
      <c r="J64" s="33"/>
      <c r="K64" s="33"/>
      <c r="L64" s="34"/>
      <c r="M64" s="6"/>
      <c r="N64" s="6"/>
      <c r="O64" s="6"/>
      <c r="P64" s="36"/>
      <c r="Q64" s="34"/>
      <c r="R64" s="34"/>
      <c r="S64" s="34"/>
      <c r="T64" s="37"/>
      <c r="U64" s="37"/>
      <c r="V64" s="38">
        <f>DATEDIF(Table1[[#This Row],[Sponsor*]],Table1[[#This Row],[Start Date*]],"d")</f>
        <v>0</v>
      </c>
      <c r="W64" s="62" t="e">
        <f>DATEDIF([1]!Table1[[#This Row],[Start Date*]],[1]!Table1[[#This Row],[End Date*]],"d")</f>
        <v>#VALUE!</v>
      </c>
      <c r="X64" s="39"/>
      <c r="Y64" s="34"/>
      <c r="Z64" s="34"/>
      <c r="AC64" s="34"/>
      <c r="AE64" s="34"/>
      <c r="AF64" s="40"/>
      <c r="AG64" s="34"/>
      <c r="AH64" s="34"/>
      <c r="AI64" s="34"/>
      <c r="AJ64" s="34"/>
      <c r="AK64" s="34">
        <f>SUBTOTAL(9,Table1[[#This Row],[Up Next Priority]:[Campus]])</f>
        <v>0</v>
      </c>
      <c r="AL64" s="52"/>
      <c r="AM64" s="42"/>
      <c r="AN64" s="43"/>
      <c r="AO64" s="44"/>
      <c r="AP64" s="44"/>
      <c r="AQ64" s="44"/>
      <c r="AR64" s="44"/>
      <c r="AS64" s="51"/>
      <c r="AT64" s="44"/>
      <c r="AU64" s="66">
        <f>SUM(Table1[[#This Row],[Org Impact Score]:[Tools]])</f>
        <v>0</v>
      </c>
      <c r="AV64" s="45"/>
      <c r="AW64" s="34"/>
      <c r="AX64" s="34"/>
      <c r="AY64" s="34"/>
    </row>
    <row r="65" spans="1:51">
      <c r="A65" s="31" t="s">
        <v>1156</v>
      </c>
      <c r="B65" s="32" t="s">
        <v>195</v>
      </c>
      <c r="C65" s="32" t="b">
        <v>0</v>
      </c>
      <c r="D65" s="32" t="s">
        <v>1158</v>
      </c>
      <c r="E65" s="32" t="s">
        <v>1117</v>
      </c>
      <c r="F65" s="32" t="s">
        <v>1120</v>
      </c>
      <c r="G65" s="32" t="s">
        <v>1126</v>
      </c>
      <c r="H65" s="65" t="s">
        <v>1159</v>
      </c>
      <c r="I65" s="33"/>
      <c r="J65" s="33"/>
      <c r="K65" s="33"/>
      <c r="L65" s="34"/>
      <c r="M65" s="6"/>
      <c r="N65" s="6"/>
      <c r="O65" s="6"/>
      <c r="P65" s="36"/>
      <c r="Q65" s="34"/>
      <c r="R65" s="34"/>
      <c r="S65" s="34"/>
      <c r="T65" s="37"/>
      <c r="U65" s="37"/>
      <c r="V65" s="38">
        <f>DATEDIF(Table1[[#This Row],[Sponsor*]],Table1[[#This Row],[Start Date*]],"d")</f>
        <v>0</v>
      </c>
      <c r="W65" s="62" t="e">
        <f>DATEDIF([1]!Table1[[#This Row],[Start Date*]],[1]!Table1[[#This Row],[End Date*]],"d")</f>
        <v>#VALUE!</v>
      </c>
      <c r="X65" s="39"/>
      <c r="Y65" s="34"/>
      <c r="Z65" s="34"/>
      <c r="AC65" s="34"/>
      <c r="AE65" s="34"/>
      <c r="AF65" s="40"/>
      <c r="AG65" s="34"/>
      <c r="AH65" s="34"/>
      <c r="AI65" s="34"/>
      <c r="AJ65" s="34"/>
      <c r="AK65" s="34">
        <f>SUBTOTAL(9,Table1[[#This Row],[Up Next Priority]:[Campus]])</f>
        <v>0</v>
      </c>
      <c r="AL65" s="52"/>
      <c r="AM65" s="42"/>
      <c r="AN65" s="43"/>
      <c r="AO65" s="44"/>
      <c r="AP65" s="44"/>
      <c r="AQ65" s="44"/>
      <c r="AR65" s="44"/>
      <c r="AS65" s="51"/>
      <c r="AT65" s="44"/>
      <c r="AU65" s="66">
        <f>SUM(Table1[[#This Row],[Org Impact Score]:[Tools]])</f>
        <v>0</v>
      </c>
      <c r="AV65" s="45"/>
      <c r="AW65" s="34"/>
      <c r="AX65" s="34"/>
      <c r="AY65" s="34"/>
    </row>
    <row r="66" spans="1:51">
      <c r="A66" s="31" t="s">
        <v>1015</v>
      </c>
      <c r="B66" s="32" t="s">
        <v>195</v>
      </c>
      <c r="C66" s="32" t="b">
        <v>0</v>
      </c>
      <c r="D66" s="32" t="s">
        <v>1014</v>
      </c>
      <c r="E66" s="32" t="s">
        <v>1117</v>
      </c>
      <c r="F66" s="32" t="s">
        <v>892</v>
      </c>
      <c r="G66" s="32" t="s">
        <v>1126</v>
      </c>
      <c r="H66" s="65" t="s">
        <v>1016</v>
      </c>
      <c r="I66" s="33"/>
      <c r="J66" s="33"/>
      <c r="K66" s="33"/>
      <c r="L66" s="34"/>
      <c r="M66" s="6"/>
      <c r="N66" s="6"/>
      <c r="O66" s="6"/>
      <c r="P66" s="36"/>
      <c r="Q66" s="34"/>
      <c r="R66" s="34"/>
      <c r="S66" s="34"/>
      <c r="T66" s="37"/>
      <c r="U66" s="37"/>
      <c r="V66" s="38">
        <f>DATEDIF(Table1[[#This Row],[Sponsor*]],Table1[[#This Row],[Start Date*]],"d")</f>
        <v>0</v>
      </c>
      <c r="W66" s="62" t="e">
        <f>DATEDIF([1]!Table1[[#This Row],[Start Date*]],[1]!Table1[[#This Row],[End Date*]],"d")</f>
        <v>#VALUE!</v>
      </c>
      <c r="X66" s="39"/>
      <c r="Y66" s="34"/>
      <c r="Z66" s="34"/>
      <c r="AC66" s="34"/>
      <c r="AE66" s="34"/>
      <c r="AF66" s="40"/>
      <c r="AG66" s="34"/>
      <c r="AH66" s="34"/>
      <c r="AI66" s="34"/>
      <c r="AJ66" s="34"/>
      <c r="AK66" s="34">
        <f>SUBTOTAL(9,Table1[[#This Row],[Up Next Priority]:[Campus]])</f>
        <v>0</v>
      </c>
      <c r="AL66" s="52"/>
      <c r="AM66" s="42"/>
      <c r="AN66" s="43"/>
      <c r="AO66" s="44"/>
      <c r="AP66" s="44"/>
      <c r="AQ66" s="44"/>
      <c r="AR66" s="44"/>
      <c r="AS66" s="51"/>
      <c r="AT66" s="44"/>
      <c r="AU66" s="66">
        <f>SUM(Table1[[#This Row],[Org Impact Score]:[Tools]])</f>
        <v>0</v>
      </c>
      <c r="AV66" s="45"/>
      <c r="AW66" s="34"/>
      <c r="AX66" s="34"/>
      <c r="AY66" s="34"/>
    </row>
    <row r="67" spans="1:51">
      <c r="A67" s="31" t="s">
        <v>1012</v>
      </c>
      <c r="B67" s="32" t="s">
        <v>195</v>
      </c>
      <c r="C67" s="32" t="b">
        <v>0</v>
      </c>
      <c r="D67" s="32" t="s">
        <v>1011</v>
      </c>
      <c r="E67" s="32" t="s">
        <v>1117</v>
      </c>
      <c r="F67" s="32" t="s">
        <v>892</v>
      </c>
      <c r="G67" s="32" t="s">
        <v>1126</v>
      </c>
      <c r="H67" s="65" t="s">
        <v>1013</v>
      </c>
      <c r="I67" s="33"/>
      <c r="J67" s="33"/>
      <c r="K67" s="33"/>
      <c r="L67" s="34"/>
      <c r="M67" s="6"/>
      <c r="N67" s="6"/>
      <c r="O67" s="6"/>
      <c r="P67" s="36"/>
      <c r="Q67" s="34"/>
      <c r="R67" s="34"/>
      <c r="S67" s="34"/>
      <c r="T67" s="37"/>
      <c r="U67" s="37"/>
      <c r="V67" s="38">
        <f>DATEDIF(Table1[[#This Row],[Sponsor*]],Table1[[#This Row],[Start Date*]],"d")</f>
        <v>0</v>
      </c>
      <c r="W67" s="62" t="e">
        <f>DATEDIF([1]!Table1[[#This Row],[Start Date*]],[1]!Table1[[#This Row],[End Date*]],"d")</f>
        <v>#VALUE!</v>
      </c>
      <c r="X67" s="39"/>
      <c r="Y67" s="34"/>
      <c r="Z67" s="34"/>
      <c r="AC67" s="34"/>
      <c r="AE67" s="34"/>
      <c r="AF67" s="40"/>
      <c r="AG67" s="34"/>
      <c r="AH67" s="34"/>
      <c r="AI67" s="34"/>
      <c r="AJ67" s="34"/>
      <c r="AK67" s="34">
        <f>SUBTOTAL(9,Table1[[#This Row],[Up Next Priority]:[Campus]])</f>
        <v>0</v>
      </c>
      <c r="AL67" s="52"/>
      <c r="AM67" s="42"/>
      <c r="AN67" s="43"/>
      <c r="AO67" s="44"/>
      <c r="AP67" s="44"/>
      <c r="AQ67" s="44"/>
      <c r="AR67" s="44"/>
      <c r="AS67" s="51"/>
      <c r="AT67" s="44"/>
      <c r="AU67" s="66">
        <f>SUM(Table1[[#This Row],[Org Impact Score]:[Tools]])</f>
        <v>0</v>
      </c>
      <c r="AV67" s="45"/>
      <c r="AW67" s="34"/>
      <c r="AX67" s="34"/>
      <c r="AY67" s="34"/>
    </row>
    <row r="68" spans="1:51">
      <c r="A68" s="31" t="s">
        <v>1407</v>
      </c>
      <c r="B68" s="32" t="s">
        <v>195</v>
      </c>
      <c r="C68" s="32" t="b">
        <v>1</v>
      </c>
      <c r="D68" s="32" t="s">
        <v>1406</v>
      </c>
      <c r="E68" s="32" t="s">
        <v>1117</v>
      </c>
      <c r="F68" s="32" t="s">
        <v>892</v>
      </c>
      <c r="G68" s="32" t="s">
        <v>1126</v>
      </c>
      <c r="H68" s="65" t="s">
        <v>1408</v>
      </c>
      <c r="I68" s="33"/>
      <c r="J68" s="33"/>
      <c r="K68" s="33"/>
      <c r="L68" s="34"/>
      <c r="M68" s="6"/>
      <c r="N68" s="6"/>
      <c r="O68" s="6"/>
      <c r="P68" s="36"/>
      <c r="Q68" s="34"/>
      <c r="R68" s="34"/>
      <c r="S68" s="34"/>
      <c r="T68" s="37"/>
      <c r="U68" s="37"/>
      <c r="V68" s="38">
        <f>DATEDIF(Table1[[#This Row],[Sponsor*]],Table1[[#This Row],[Start Date*]],"d")</f>
        <v>0</v>
      </c>
      <c r="W68" s="62" t="e">
        <f>DATEDIF([1]!Table1[[#This Row],[Start Date*]],[1]!Table1[[#This Row],[End Date*]],"d")</f>
        <v>#VALUE!</v>
      </c>
      <c r="X68" s="39"/>
      <c r="Y68" s="34"/>
      <c r="Z68" s="34"/>
      <c r="AC68" s="34"/>
      <c r="AE68" s="34"/>
      <c r="AF68" s="40"/>
      <c r="AG68" s="34"/>
      <c r="AH68" s="34"/>
      <c r="AI68" s="34"/>
      <c r="AJ68" s="34"/>
      <c r="AK68" s="34">
        <f>SUBTOTAL(9,Table1[[#This Row],[Up Next Priority]:[Campus]])</f>
        <v>0</v>
      </c>
      <c r="AL68" s="52"/>
      <c r="AM68" s="42"/>
      <c r="AN68" s="43"/>
      <c r="AO68" s="44"/>
      <c r="AP68" s="44"/>
      <c r="AQ68" s="44"/>
      <c r="AR68" s="44"/>
      <c r="AS68" s="51"/>
      <c r="AT68" s="44"/>
      <c r="AU68" s="66">
        <f>SUM(Table1[[#This Row],[Org Impact Score]:[Tools]])</f>
        <v>0</v>
      </c>
      <c r="AV68" s="45"/>
      <c r="AW68" s="34"/>
      <c r="AX68" s="34"/>
      <c r="AY68" s="34"/>
    </row>
    <row r="69" spans="1:51">
      <c r="A69" s="31" t="s">
        <v>1009</v>
      </c>
      <c r="B69" s="32" t="s">
        <v>195</v>
      </c>
      <c r="C69" s="32" t="b">
        <v>0</v>
      </c>
      <c r="D69" s="32" t="s">
        <v>1008</v>
      </c>
      <c r="E69" s="32" t="s">
        <v>1117</v>
      </c>
      <c r="F69" s="32" t="s">
        <v>892</v>
      </c>
      <c r="G69" s="32" t="s">
        <v>1126</v>
      </c>
      <c r="H69" s="65" t="s">
        <v>1010</v>
      </c>
      <c r="I69" s="33"/>
      <c r="J69" s="33"/>
      <c r="K69" s="33"/>
      <c r="L69" s="34"/>
      <c r="M69" s="6"/>
      <c r="N69" s="6"/>
      <c r="O69" s="6"/>
      <c r="P69" s="36"/>
      <c r="Q69" s="34"/>
      <c r="R69" s="34"/>
      <c r="S69" s="34"/>
      <c r="T69" s="37"/>
      <c r="U69" s="37"/>
      <c r="V69" s="38">
        <f>DATEDIF(Table1[[#This Row],[Sponsor*]],Table1[[#This Row],[Start Date*]],"d")</f>
        <v>0</v>
      </c>
      <c r="W69" s="62" t="e">
        <f>DATEDIF([1]!Table1[[#This Row],[Start Date*]],[1]!Table1[[#This Row],[End Date*]],"d")</f>
        <v>#VALUE!</v>
      </c>
      <c r="X69" s="39"/>
      <c r="Y69" s="34"/>
      <c r="Z69" s="34"/>
      <c r="AC69" s="34"/>
      <c r="AE69" s="34"/>
      <c r="AF69" s="40"/>
      <c r="AG69" s="34"/>
      <c r="AH69" s="34"/>
      <c r="AI69" s="34"/>
      <c r="AJ69" s="34"/>
      <c r="AK69" s="34">
        <f>SUBTOTAL(9,Table1[[#This Row],[Up Next Priority]:[Campus]])</f>
        <v>0</v>
      </c>
      <c r="AL69" s="52"/>
      <c r="AM69" s="42"/>
      <c r="AN69" s="43"/>
      <c r="AO69" s="44"/>
      <c r="AP69" s="44"/>
      <c r="AQ69" s="44"/>
      <c r="AR69" s="44"/>
      <c r="AS69" s="51"/>
      <c r="AT69" s="44"/>
      <c r="AU69" s="66">
        <f>SUM(Table1[[#This Row],[Org Impact Score]:[Tools]])</f>
        <v>0</v>
      </c>
      <c r="AV69" s="45"/>
      <c r="AW69" s="34"/>
      <c r="AX69" s="34"/>
      <c r="AY69" s="34"/>
    </row>
    <row r="70" spans="1:51">
      <c r="A70" s="31" t="s">
        <v>1404</v>
      </c>
      <c r="B70" s="32" t="s">
        <v>195</v>
      </c>
      <c r="C70" s="32" t="b">
        <v>1</v>
      </c>
      <c r="D70" s="32" t="s">
        <v>1403</v>
      </c>
      <c r="E70" s="32" t="s">
        <v>1117</v>
      </c>
      <c r="F70" s="32" t="s">
        <v>892</v>
      </c>
      <c r="G70" s="32" t="s">
        <v>1465</v>
      </c>
      <c r="H70" s="65" t="s">
        <v>1405</v>
      </c>
      <c r="I70" s="33"/>
      <c r="J70" s="33"/>
      <c r="K70" s="33"/>
      <c r="L70" s="34"/>
      <c r="M70" s="6"/>
      <c r="N70" s="6"/>
      <c r="O70" s="6"/>
      <c r="P70" s="36"/>
      <c r="Q70" s="34"/>
      <c r="R70" s="34"/>
      <c r="S70" s="34"/>
      <c r="T70" s="37"/>
      <c r="U70" s="37"/>
      <c r="V70" s="38">
        <f>DATEDIF(Table1[[#This Row],[Sponsor*]],Table1[[#This Row],[Start Date*]],"d")</f>
        <v>0</v>
      </c>
      <c r="W70" s="62" t="e">
        <f>DATEDIF([1]!Table1[[#This Row],[Start Date*]],[1]!Table1[[#This Row],[End Date*]],"d")</f>
        <v>#VALUE!</v>
      </c>
      <c r="X70" s="39"/>
      <c r="Y70" s="34"/>
      <c r="Z70" s="34"/>
      <c r="AC70" s="34"/>
      <c r="AE70" s="34"/>
      <c r="AF70" s="40"/>
      <c r="AG70" s="34"/>
      <c r="AH70" s="34"/>
      <c r="AI70" s="34"/>
      <c r="AJ70" s="34"/>
      <c r="AK70" s="34">
        <f>SUBTOTAL(9,Table1[[#This Row],[Up Next Priority]:[Campus]])</f>
        <v>0</v>
      </c>
      <c r="AL70" s="52"/>
      <c r="AM70" s="42"/>
      <c r="AN70" s="43"/>
      <c r="AO70" s="44"/>
      <c r="AP70" s="44"/>
      <c r="AQ70" s="44"/>
      <c r="AR70" s="44"/>
      <c r="AS70" s="51"/>
      <c r="AT70" s="44"/>
      <c r="AU70" s="66">
        <f>SUM(Table1[[#This Row],[Org Impact Score]:[Tools]])</f>
        <v>0</v>
      </c>
      <c r="AV70" s="45"/>
      <c r="AW70" s="34"/>
      <c r="AX70" s="34"/>
      <c r="AY70" s="34"/>
    </row>
    <row r="71" spans="1:51">
      <c r="A71" s="31" t="s">
        <v>1401</v>
      </c>
      <c r="B71" s="32" t="s">
        <v>195</v>
      </c>
      <c r="C71" s="32" t="b">
        <v>1</v>
      </c>
      <c r="D71" s="32" t="s">
        <v>1400</v>
      </c>
      <c r="E71" s="32" t="s">
        <v>1117</v>
      </c>
      <c r="F71" s="32" t="s">
        <v>892</v>
      </c>
      <c r="G71" s="32" t="s">
        <v>1126</v>
      </c>
      <c r="H71" s="65" t="s">
        <v>1402</v>
      </c>
      <c r="I71" s="33"/>
      <c r="J71" s="33"/>
      <c r="K71" s="33"/>
      <c r="L71" s="34"/>
      <c r="M71" s="6"/>
      <c r="N71" s="6"/>
      <c r="O71" s="6"/>
      <c r="P71" s="36"/>
      <c r="Q71" s="34"/>
      <c r="R71" s="34"/>
      <c r="S71" s="34"/>
      <c r="T71" s="37"/>
      <c r="U71" s="37"/>
      <c r="V71" s="38">
        <f>DATEDIF(Table1[[#This Row],[Sponsor*]],Table1[[#This Row],[Start Date*]],"d")</f>
        <v>0</v>
      </c>
      <c r="W71" s="62" t="e">
        <f>DATEDIF([1]!Table1[[#This Row],[Start Date*]],[1]!Table1[[#This Row],[End Date*]],"d")</f>
        <v>#VALUE!</v>
      </c>
      <c r="X71" s="39"/>
      <c r="Y71" s="34"/>
      <c r="Z71" s="34"/>
      <c r="AC71" s="34"/>
      <c r="AE71" s="34"/>
      <c r="AF71" s="40"/>
      <c r="AG71" s="34"/>
      <c r="AH71" s="34"/>
      <c r="AI71" s="34"/>
      <c r="AJ71" s="34"/>
      <c r="AK71" s="34">
        <f>SUBTOTAL(9,Table1[[#This Row],[Up Next Priority]:[Campus]])</f>
        <v>0</v>
      </c>
      <c r="AL71" s="52"/>
      <c r="AM71" s="42"/>
      <c r="AN71" s="43"/>
      <c r="AO71" s="44"/>
      <c r="AP71" s="44"/>
      <c r="AQ71" s="44"/>
      <c r="AR71" s="44"/>
      <c r="AS71" s="51"/>
      <c r="AT71" s="44"/>
      <c r="AU71" s="66">
        <f>SUM(Table1[[#This Row],[Org Impact Score]:[Tools]])</f>
        <v>0</v>
      </c>
      <c r="AV71" s="45"/>
      <c r="AW71" s="34"/>
      <c r="AX71" s="34"/>
      <c r="AY71" s="34"/>
    </row>
    <row r="72" spans="1:51">
      <c r="A72" s="31" t="s">
        <v>1398</v>
      </c>
      <c r="B72" s="32" t="s">
        <v>195</v>
      </c>
      <c r="C72" s="32" t="b">
        <v>1</v>
      </c>
      <c r="D72" s="32" t="s">
        <v>1397</v>
      </c>
      <c r="E72" s="32" t="s">
        <v>1117</v>
      </c>
      <c r="F72" s="32" t="s">
        <v>892</v>
      </c>
      <c r="G72" s="32" t="s">
        <v>1126</v>
      </c>
      <c r="H72" s="65" t="s">
        <v>1399</v>
      </c>
      <c r="I72" s="33"/>
      <c r="J72" s="33"/>
      <c r="K72" s="33"/>
      <c r="L72" s="34"/>
      <c r="M72" s="6"/>
      <c r="N72" s="6"/>
      <c r="O72" s="6"/>
      <c r="P72" s="36"/>
      <c r="Q72" s="34"/>
      <c r="R72" s="34"/>
      <c r="S72" s="34"/>
      <c r="T72" s="37"/>
      <c r="U72" s="37"/>
      <c r="V72" s="38">
        <f>DATEDIF(Table1[[#This Row],[Sponsor*]],Table1[[#This Row],[Start Date*]],"d")</f>
        <v>0</v>
      </c>
      <c r="W72" s="62" t="e">
        <f>DATEDIF([1]!Table1[[#This Row],[Start Date*]],[1]!Table1[[#This Row],[End Date*]],"d")</f>
        <v>#VALUE!</v>
      </c>
      <c r="X72" s="39"/>
      <c r="Y72" s="34"/>
      <c r="Z72" s="34"/>
      <c r="AC72" s="34"/>
      <c r="AE72" s="34"/>
      <c r="AF72" s="40"/>
      <c r="AG72" s="34"/>
      <c r="AH72" s="34"/>
      <c r="AI72" s="34"/>
      <c r="AJ72" s="34"/>
      <c r="AK72" s="34">
        <f>SUBTOTAL(9,Table1[[#This Row],[Up Next Priority]:[Campus]])</f>
        <v>0</v>
      </c>
      <c r="AL72" s="52"/>
      <c r="AM72" s="42"/>
      <c r="AN72" s="43"/>
      <c r="AO72" s="44"/>
      <c r="AP72" s="44"/>
      <c r="AQ72" s="44"/>
      <c r="AR72" s="44"/>
      <c r="AS72" s="51"/>
      <c r="AT72" s="44"/>
      <c r="AU72" s="66">
        <f>SUM(Table1[[#This Row],[Org Impact Score]:[Tools]])</f>
        <v>0</v>
      </c>
      <c r="AV72" s="45"/>
      <c r="AW72" s="34"/>
      <c r="AX72" s="34"/>
      <c r="AY72" s="34"/>
    </row>
    <row r="73" spans="1:51">
      <c r="A73" s="31" t="s">
        <v>1006</v>
      </c>
      <c r="B73" s="32" t="s">
        <v>195</v>
      </c>
      <c r="C73" s="32" t="b">
        <v>0</v>
      </c>
      <c r="D73" s="32" t="s">
        <v>1005</v>
      </c>
      <c r="E73" s="32" t="s">
        <v>1117</v>
      </c>
      <c r="F73" s="32" t="s">
        <v>892</v>
      </c>
      <c r="G73" s="32" t="s">
        <v>1131</v>
      </c>
      <c r="H73" s="65" t="s">
        <v>1007</v>
      </c>
      <c r="I73" s="33"/>
      <c r="J73" s="33"/>
      <c r="K73" s="33"/>
      <c r="L73" s="34"/>
      <c r="M73" s="6"/>
      <c r="N73" s="6"/>
      <c r="O73" s="6"/>
      <c r="P73" s="36"/>
      <c r="Q73" s="34"/>
      <c r="R73" s="34"/>
      <c r="S73" s="34"/>
      <c r="T73" s="37"/>
      <c r="U73" s="37"/>
      <c r="V73" s="38">
        <f>DATEDIF(Table1[[#This Row],[Sponsor*]],Table1[[#This Row],[Start Date*]],"d")</f>
        <v>0</v>
      </c>
      <c r="W73" s="62" t="e">
        <f>DATEDIF([1]!Table1[[#This Row],[Start Date*]],[1]!Table1[[#This Row],[End Date*]],"d")</f>
        <v>#VALUE!</v>
      </c>
      <c r="X73" s="39"/>
      <c r="Y73" s="34"/>
      <c r="Z73" s="34"/>
      <c r="AC73" s="34"/>
      <c r="AE73" s="34"/>
      <c r="AF73" s="40"/>
      <c r="AG73" s="34"/>
      <c r="AH73" s="34"/>
      <c r="AI73" s="34"/>
      <c r="AJ73" s="34"/>
      <c r="AK73" s="34">
        <f>SUBTOTAL(9,Table1[[#This Row],[Up Next Priority]:[Campus]])</f>
        <v>0</v>
      </c>
      <c r="AL73" s="52"/>
      <c r="AM73" s="42"/>
      <c r="AN73" s="43"/>
      <c r="AO73" s="44"/>
      <c r="AP73" s="44"/>
      <c r="AQ73" s="44"/>
      <c r="AR73" s="44"/>
      <c r="AS73" s="51"/>
      <c r="AT73" s="44"/>
      <c r="AU73" s="66">
        <f>SUM(Table1[[#This Row],[Org Impact Score]:[Tools]])</f>
        <v>0</v>
      </c>
      <c r="AV73" s="45"/>
      <c r="AW73" s="34"/>
      <c r="AX73" s="34"/>
      <c r="AY73" s="34"/>
    </row>
    <row r="74" spans="1:51">
      <c r="A74" s="31" t="s">
        <v>1003</v>
      </c>
      <c r="B74" s="32" t="s">
        <v>195</v>
      </c>
      <c r="C74" s="32" t="b">
        <v>0</v>
      </c>
      <c r="D74" s="32" t="s">
        <v>1002</v>
      </c>
      <c r="E74" s="32" t="s">
        <v>1117</v>
      </c>
      <c r="F74" s="32" t="s">
        <v>892</v>
      </c>
      <c r="G74" s="32" t="s">
        <v>1131</v>
      </c>
      <c r="H74" s="65" t="s">
        <v>1004</v>
      </c>
      <c r="I74" s="33"/>
      <c r="J74" s="33"/>
      <c r="K74" s="33"/>
      <c r="L74" s="34"/>
      <c r="M74" s="6"/>
      <c r="N74" s="6"/>
      <c r="O74" s="6"/>
      <c r="P74" s="36"/>
      <c r="Q74" s="34"/>
      <c r="R74" s="34"/>
      <c r="S74" s="34"/>
      <c r="T74" s="37"/>
      <c r="U74" s="37"/>
      <c r="V74" s="38">
        <f>DATEDIF(Table1[[#This Row],[Sponsor*]],Table1[[#This Row],[Start Date*]],"d")</f>
        <v>0</v>
      </c>
      <c r="W74" s="62" t="e">
        <f>DATEDIF([1]!Table1[[#This Row],[Start Date*]],[1]!Table1[[#This Row],[End Date*]],"d")</f>
        <v>#VALUE!</v>
      </c>
      <c r="X74" s="39"/>
      <c r="Y74" s="34"/>
      <c r="Z74" s="34"/>
      <c r="AC74" s="34"/>
      <c r="AE74" s="34"/>
      <c r="AF74" s="40"/>
      <c r="AG74" s="34"/>
      <c r="AH74" s="34"/>
      <c r="AI74" s="34"/>
      <c r="AJ74" s="34"/>
      <c r="AK74" s="34">
        <f>SUBTOTAL(9,Table1[[#This Row],[Up Next Priority]:[Campus]])</f>
        <v>0</v>
      </c>
      <c r="AL74" s="52"/>
      <c r="AM74" s="42"/>
      <c r="AN74" s="43"/>
      <c r="AO74" s="44"/>
      <c r="AP74" s="44"/>
      <c r="AQ74" s="44"/>
      <c r="AR74" s="44"/>
      <c r="AS74" s="51"/>
      <c r="AT74" s="44"/>
      <c r="AU74" s="66">
        <f>SUM(Table1[[#This Row],[Org Impact Score]:[Tools]])</f>
        <v>0</v>
      </c>
      <c r="AV74" s="45"/>
      <c r="AW74" s="34"/>
      <c r="AX74" s="34"/>
      <c r="AY74" s="34"/>
    </row>
    <row r="75" spans="1:51">
      <c r="A75" s="31" t="s">
        <v>1000</v>
      </c>
      <c r="B75" s="32" t="s">
        <v>195</v>
      </c>
      <c r="C75" s="32" t="b">
        <v>0</v>
      </c>
      <c r="D75" s="32" t="s">
        <v>999</v>
      </c>
      <c r="E75" s="32" t="s">
        <v>1117</v>
      </c>
      <c r="F75" s="32" t="s">
        <v>892</v>
      </c>
      <c r="G75" s="32" t="s">
        <v>1125</v>
      </c>
      <c r="H75" s="65" t="s">
        <v>1001</v>
      </c>
      <c r="I75" s="33"/>
      <c r="J75" s="33"/>
      <c r="K75" s="33"/>
      <c r="L75" s="34"/>
      <c r="M75" s="6"/>
      <c r="N75" s="6"/>
      <c r="O75" s="6"/>
      <c r="P75" s="36"/>
      <c r="Q75" s="34"/>
      <c r="R75" s="34"/>
      <c r="S75" s="34"/>
      <c r="T75" s="37"/>
      <c r="U75" s="37"/>
      <c r="V75" s="38">
        <f>DATEDIF(Table1[[#This Row],[Sponsor*]],Table1[[#This Row],[Start Date*]],"d")</f>
        <v>0</v>
      </c>
      <c r="W75" s="62" t="e">
        <f>DATEDIF([1]!Table1[[#This Row],[Start Date*]],[1]!Table1[[#This Row],[End Date*]],"d")</f>
        <v>#VALUE!</v>
      </c>
      <c r="X75" s="39"/>
      <c r="Y75" s="34"/>
      <c r="Z75" s="34"/>
      <c r="AC75" s="34"/>
      <c r="AE75" s="34"/>
      <c r="AF75" s="40"/>
      <c r="AG75" s="34"/>
      <c r="AH75" s="34"/>
      <c r="AI75" s="34"/>
      <c r="AJ75" s="34"/>
      <c r="AK75" s="34">
        <f>SUBTOTAL(9,Table1[[#This Row],[Up Next Priority]:[Campus]])</f>
        <v>0</v>
      </c>
      <c r="AL75" s="52"/>
      <c r="AM75" s="42"/>
      <c r="AN75" s="43"/>
      <c r="AO75" s="44"/>
      <c r="AP75" s="44"/>
      <c r="AQ75" s="44"/>
      <c r="AR75" s="44"/>
      <c r="AS75" s="51"/>
      <c r="AT75" s="44"/>
      <c r="AU75" s="66">
        <f>SUM(Table1[[#This Row],[Org Impact Score]:[Tools]])</f>
        <v>0</v>
      </c>
      <c r="AV75" s="45"/>
      <c r="AW75" s="34"/>
      <c r="AX75" s="34"/>
      <c r="AY75" s="34"/>
    </row>
    <row r="76" spans="1:51">
      <c r="A76" s="31" t="s">
        <v>997</v>
      </c>
      <c r="B76" s="32" t="s">
        <v>195</v>
      </c>
      <c r="C76" s="32" t="b">
        <v>0</v>
      </c>
      <c r="D76" s="32" t="s">
        <v>996</v>
      </c>
      <c r="E76" s="32" t="s">
        <v>1117</v>
      </c>
      <c r="F76" s="32" t="s">
        <v>892</v>
      </c>
      <c r="G76" s="32" t="s">
        <v>1125</v>
      </c>
      <c r="H76" s="65" t="s">
        <v>998</v>
      </c>
      <c r="I76" s="33"/>
      <c r="J76" s="33"/>
      <c r="K76" s="33"/>
      <c r="L76" s="34"/>
      <c r="M76" s="6"/>
      <c r="N76" s="6"/>
      <c r="O76" s="6"/>
      <c r="P76" s="36"/>
      <c r="Q76" s="34"/>
      <c r="R76" s="34"/>
      <c r="S76" s="34"/>
      <c r="T76" s="37"/>
      <c r="U76" s="37"/>
      <c r="V76" s="38">
        <f>DATEDIF(Table1[[#This Row],[Sponsor*]],Table1[[#This Row],[Start Date*]],"d")</f>
        <v>0</v>
      </c>
      <c r="W76" s="62" t="e">
        <f>DATEDIF([1]!Table1[[#This Row],[Start Date*]],[1]!Table1[[#This Row],[End Date*]],"d")</f>
        <v>#VALUE!</v>
      </c>
      <c r="X76" s="39"/>
      <c r="Y76" s="34"/>
      <c r="Z76" s="34"/>
      <c r="AC76" s="34"/>
      <c r="AE76" s="34"/>
      <c r="AF76" s="40"/>
      <c r="AG76" s="34"/>
      <c r="AH76" s="34"/>
      <c r="AI76" s="34"/>
      <c r="AJ76" s="34"/>
      <c r="AK76" s="34">
        <f>SUBTOTAL(9,Table1[[#This Row],[Up Next Priority]:[Campus]])</f>
        <v>0</v>
      </c>
      <c r="AL76" s="52"/>
      <c r="AM76" s="42"/>
      <c r="AN76" s="43"/>
      <c r="AO76" s="44"/>
      <c r="AP76" s="44"/>
      <c r="AQ76" s="44"/>
      <c r="AR76" s="44"/>
      <c r="AS76" s="51"/>
      <c r="AT76" s="44"/>
      <c r="AU76" s="66">
        <f>SUM(Table1[[#This Row],[Org Impact Score]:[Tools]])</f>
        <v>0</v>
      </c>
      <c r="AV76" s="45"/>
      <c r="AW76" s="34"/>
      <c r="AX76" s="34"/>
      <c r="AY76" s="34"/>
    </row>
    <row r="77" spans="1:51">
      <c r="A77" s="31" t="s">
        <v>995</v>
      </c>
      <c r="B77" s="32" t="s">
        <v>195</v>
      </c>
      <c r="C77" s="32" t="b">
        <v>0</v>
      </c>
      <c r="D77" s="32" t="s">
        <v>1017</v>
      </c>
      <c r="E77" s="32" t="s">
        <v>1117</v>
      </c>
      <c r="F77" s="32" t="s">
        <v>892</v>
      </c>
      <c r="G77" s="32" t="s">
        <v>1126</v>
      </c>
      <c r="H77" s="65" t="s">
        <v>1018</v>
      </c>
      <c r="I77" s="33"/>
      <c r="J77" s="33"/>
      <c r="K77" s="33"/>
      <c r="L77" s="34"/>
      <c r="M77" s="6"/>
      <c r="N77" s="6"/>
      <c r="O77" s="6"/>
      <c r="P77" s="36"/>
      <c r="Q77" s="34"/>
      <c r="R77" s="34"/>
      <c r="S77" s="34"/>
      <c r="T77" s="37"/>
      <c r="U77" s="37"/>
      <c r="V77" s="38">
        <f>DATEDIF(Table1[[#This Row],[Sponsor*]],Table1[[#This Row],[Start Date*]],"d")</f>
        <v>0</v>
      </c>
      <c r="W77" s="62" t="e">
        <f>DATEDIF([1]!Table1[[#This Row],[Start Date*]],[1]!Table1[[#This Row],[End Date*]],"d")</f>
        <v>#VALUE!</v>
      </c>
      <c r="X77" s="39"/>
      <c r="Y77" s="34"/>
      <c r="Z77" s="34"/>
      <c r="AC77" s="34"/>
      <c r="AE77" s="34"/>
      <c r="AF77" s="40"/>
      <c r="AG77" s="34"/>
      <c r="AH77" s="34"/>
      <c r="AI77" s="34"/>
      <c r="AJ77" s="34"/>
      <c r="AK77" s="34">
        <f>SUBTOTAL(9,Table1[[#This Row],[Up Next Priority]:[Campus]])</f>
        <v>0</v>
      </c>
      <c r="AL77" s="52"/>
      <c r="AM77" s="42"/>
      <c r="AN77" s="43"/>
      <c r="AO77" s="44"/>
      <c r="AP77" s="44"/>
      <c r="AQ77" s="44"/>
      <c r="AR77" s="44"/>
      <c r="AS77" s="51"/>
      <c r="AT77" s="44"/>
      <c r="AU77" s="66">
        <f>SUM(Table1[[#This Row],[Org Impact Score]:[Tools]])</f>
        <v>0</v>
      </c>
      <c r="AV77" s="45"/>
      <c r="AW77" s="34"/>
      <c r="AX77" s="34"/>
      <c r="AY77" s="34"/>
    </row>
    <row r="78" spans="1:51">
      <c r="A78" s="31" t="s">
        <v>993</v>
      </c>
      <c r="B78" s="32" t="s">
        <v>195</v>
      </c>
      <c r="C78" s="32" t="b">
        <v>0</v>
      </c>
      <c r="D78" s="32" t="s">
        <v>992</v>
      </c>
      <c r="E78" s="32" t="s">
        <v>1117</v>
      </c>
      <c r="F78" s="32" t="s">
        <v>891</v>
      </c>
      <c r="G78" s="32" t="s">
        <v>1126</v>
      </c>
      <c r="H78" s="65" t="s">
        <v>994</v>
      </c>
      <c r="I78" s="33"/>
      <c r="J78" s="33"/>
      <c r="K78" s="33"/>
      <c r="L78" s="34"/>
      <c r="M78" s="6"/>
      <c r="N78" s="6"/>
      <c r="O78" s="6"/>
      <c r="P78" s="36"/>
      <c r="Q78" s="34"/>
      <c r="R78" s="34"/>
      <c r="S78" s="34"/>
      <c r="T78" s="37"/>
      <c r="U78" s="37"/>
      <c r="V78" s="38">
        <f>DATEDIF(Table1[[#This Row],[Sponsor*]],Table1[[#This Row],[Start Date*]],"d")</f>
        <v>0</v>
      </c>
      <c r="W78" s="62" t="e">
        <f>DATEDIF([1]!Table1[[#This Row],[Start Date*]],[1]!Table1[[#This Row],[End Date*]],"d")</f>
        <v>#VALUE!</v>
      </c>
      <c r="X78" s="39"/>
      <c r="Y78" s="34"/>
      <c r="Z78" s="34"/>
      <c r="AC78" s="34"/>
      <c r="AE78" s="34"/>
      <c r="AF78" s="40"/>
      <c r="AG78" s="34"/>
      <c r="AH78" s="34"/>
      <c r="AI78" s="34"/>
      <c r="AJ78" s="34"/>
      <c r="AK78" s="34">
        <f>SUBTOTAL(9,Table1[[#This Row],[Up Next Priority]:[Campus]])</f>
        <v>0</v>
      </c>
      <c r="AL78" s="52"/>
      <c r="AM78" s="42"/>
      <c r="AN78" s="43"/>
      <c r="AO78" s="44"/>
      <c r="AP78" s="44"/>
      <c r="AQ78" s="44"/>
      <c r="AR78" s="44"/>
      <c r="AS78" s="51"/>
      <c r="AT78" s="44"/>
      <c r="AU78" s="66">
        <f>SUM(Table1[[#This Row],[Org Impact Score]:[Tools]])</f>
        <v>0</v>
      </c>
      <c r="AV78" s="45"/>
      <c r="AW78" s="34"/>
      <c r="AX78" s="34"/>
      <c r="AY78" s="34"/>
    </row>
    <row r="79" spans="1:51">
      <c r="A79" s="31" t="s">
        <v>990</v>
      </c>
      <c r="B79" s="32" t="s">
        <v>195</v>
      </c>
      <c r="C79" s="32" t="b">
        <v>0</v>
      </c>
      <c r="D79" s="32" t="s">
        <v>989</v>
      </c>
      <c r="E79" s="32" t="s">
        <v>1117</v>
      </c>
      <c r="F79" s="32" t="s">
        <v>891</v>
      </c>
      <c r="G79" s="32" t="s">
        <v>1126</v>
      </c>
      <c r="H79" s="65" t="s">
        <v>991</v>
      </c>
      <c r="I79" s="33"/>
      <c r="J79" s="33"/>
      <c r="K79" s="33"/>
      <c r="L79" s="34"/>
      <c r="M79" s="6"/>
      <c r="N79" s="6"/>
      <c r="O79" s="6"/>
      <c r="P79" s="36"/>
      <c r="Q79" s="34"/>
      <c r="R79" s="34"/>
      <c r="S79" s="34"/>
      <c r="T79" s="37"/>
      <c r="U79" s="37"/>
      <c r="V79" s="38">
        <f>DATEDIF(Table1[[#This Row],[Sponsor*]],Table1[[#This Row],[Start Date*]],"d")</f>
        <v>0</v>
      </c>
      <c r="W79" s="62" t="e">
        <f>DATEDIF([1]!Table1[[#This Row],[Start Date*]],[1]!Table1[[#This Row],[End Date*]],"d")</f>
        <v>#VALUE!</v>
      </c>
      <c r="X79" s="39"/>
      <c r="Y79" s="34"/>
      <c r="Z79" s="34"/>
      <c r="AC79" s="34"/>
      <c r="AE79" s="34"/>
      <c r="AF79" s="40"/>
      <c r="AG79" s="34"/>
      <c r="AH79" s="34"/>
      <c r="AI79" s="34"/>
      <c r="AJ79" s="34"/>
      <c r="AK79" s="34">
        <f>SUBTOTAL(9,Table1[[#This Row],[Up Next Priority]:[Campus]])</f>
        <v>0</v>
      </c>
      <c r="AL79" s="52"/>
      <c r="AM79" s="42"/>
      <c r="AN79" s="43"/>
      <c r="AO79" s="44"/>
      <c r="AP79" s="44"/>
      <c r="AQ79" s="44"/>
      <c r="AR79" s="44"/>
      <c r="AS79" s="51"/>
      <c r="AT79" s="44"/>
      <c r="AU79" s="66">
        <f>SUM(Table1[[#This Row],[Org Impact Score]:[Tools]])</f>
        <v>0</v>
      </c>
      <c r="AV79" s="45"/>
      <c r="AW79" s="34"/>
      <c r="AX79" s="34"/>
      <c r="AY79" s="34"/>
    </row>
    <row r="80" spans="1:51">
      <c r="A80" s="31" t="s">
        <v>987</v>
      </c>
      <c r="B80" s="32" t="s">
        <v>195</v>
      </c>
      <c r="C80" s="32" t="b">
        <v>0</v>
      </c>
      <c r="D80" s="32" t="s">
        <v>986</v>
      </c>
      <c r="E80" s="32" t="s">
        <v>1117</v>
      </c>
      <c r="F80" s="32" t="s">
        <v>891</v>
      </c>
      <c r="G80" s="32" t="s">
        <v>1126</v>
      </c>
      <c r="H80" s="65" t="s">
        <v>988</v>
      </c>
      <c r="I80" s="33"/>
      <c r="J80" s="33"/>
      <c r="K80" s="33"/>
      <c r="L80" s="34"/>
      <c r="M80" s="6"/>
      <c r="N80" s="6"/>
      <c r="O80" s="6"/>
      <c r="P80" s="36"/>
      <c r="Q80" s="34"/>
      <c r="R80" s="34"/>
      <c r="S80" s="34"/>
      <c r="T80" s="37"/>
      <c r="U80" s="37"/>
      <c r="V80" s="38">
        <f>DATEDIF(Table1[[#This Row],[Sponsor*]],Table1[[#This Row],[Start Date*]],"d")</f>
        <v>0</v>
      </c>
      <c r="W80" s="62" t="e">
        <f>DATEDIF([1]!Table1[[#This Row],[Start Date*]],[1]!Table1[[#This Row],[End Date*]],"d")</f>
        <v>#VALUE!</v>
      </c>
      <c r="X80" s="39"/>
      <c r="Y80" s="34"/>
      <c r="Z80" s="34"/>
      <c r="AC80" s="34"/>
      <c r="AE80" s="34"/>
      <c r="AF80" s="40"/>
      <c r="AG80" s="34"/>
      <c r="AH80" s="34"/>
      <c r="AI80" s="34"/>
      <c r="AJ80" s="34"/>
      <c r="AK80" s="34">
        <f>SUBTOTAL(9,Table1[[#This Row],[Up Next Priority]:[Campus]])</f>
        <v>0</v>
      </c>
      <c r="AL80" s="52"/>
      <c r="AM80" s="42"/>
      <c r="AN80" s="43"/>
      <c r="AO80" s="44"/>
      <c r="AP80" s="44"/>
      <c r="AQ80" s="44"/>
      <c r="AR80" s="44"/>
      <c r="AS80" s="51"/>
      <c r="AT80" s="44"/>
      <c r="AU80" s="66">
        <f>SUM(Table1[[#This Row],[Org Impact Score]:[Tools]])</f>
        <v>0</v>
      </c>
      <c r="AV80" s="45"/>
      <c r="AW80" s="34"/>
      <c r="AX80" s="34"/>
      <c r="AY80" s="34"/>
    </row>
    <row r="81" spans="1:51">
      <c r="A81" s="31" t="s">
        <v>984</v>
      </c>
      <c r="B81" s="32" t="s">
        <v>195</v>
      </c>
      <c r="C81" s="32" t="b">
        <v>0</v>
      </c>
      <c r="D81" s="32" t="s">
        <v>983</v>
      </c>
      <c r="E81" s="32" t="s">
        <v>1117</v>
      </c>
      <c r="F81" s="32" t="s">
        <v>891</v>
      </c>
      <c r="G81" s="32" t="s">
        <v>1126</v>
      </c>
      <c r="H81" s="65" t="s">
        <v>985</v>
      </c>
      <c r="I81" s="33"/>
      <c r="J81" s="33"/>
      <c r="K81" s="33"/>
      <c r="L81" s="34"/>
      <c r="M81" s="6"/>
      <c r="N81" s="6"/>
      <c r="O81" s="6"/>
      <c r="P81" s="36"/>
      <c r="Q81" s="34"/>
      <c r="R81" s="34"/>
      <c r="S81" s="34"/>
      <c r="T81" s="37"/>
      <c r="U81" s="37"/>
      <c r="V81" s="38">
        <f>DATEDIF(Table1[[#This Row],[Sponsor*]],Table1[[#This Row],[Start Date*]],"d")</f>
        <v>0</v>
      </c>
      <c r="W81" s="62" t="e">
        <f>DATEDIF([1]!Table1[[#This Row],[Start Date*]],[1]!Table1[[#This Row],[End Date*]],"d")</f>
        <v>#VALUE!</v>
      </c>
      <c r="X81" s="39"/>
      <c r="Y81" s="34"/>
      <c r="Z81" s="34"/>
      <c r="AC81" s="34"/>
      <c r="AE81" s="34"/>
      <c r="AF81" s="40"/>
      <c r="AG81" s="34"/>
      <c r="AH81" s="34"/>
      <c r="AI81" s="34"/>
      <c r="AJ81" s="34"/>
      <c r="AK81" s="34">
        <f>SUBTOTAL(9,Table1[[#This Row],[Up Next Priority]:[Campus]])</f>
        <v>0</v>
      </c>
      <c r="AL81" s="52"/>
      <c r="AM81" s="42"/>
      <c r="AN81" s="43"/>
      <c r="AO81" s="44"/>
      <c r="AP81" s="44"/>
      <c r="AQ81" s="44"/>
      <c r="AR81" s="44"/>
      <c r="AS81" s="51"/>
      <c r="AT81" s="44"/>
      <c r="AU81" s="66">
        <f>SUM(Table1[[#This Row],[Org Impact Score]:[Tools]])</f>
        <v>0</v>
      </c>
      <c r="AV81" s="45"/>
      <c r="AW81" s="34"/>
      <c r="AX81" s="34"/>
      <c r="AY81" s="34"/>
    </row>
    <row r="82" spans="1:51">
      <c r="A82" s="31" t="s">
        <v>1395</v>
      </c>
      <c r="B82" s="32" t="s">
        <v>195</v>
      </c>
      <c r="C82" s="32" t="b">
        <v>1</v>
      </c>
      <c r="D82" s="32" t="s">
        <v>1394</v>
      </c>
      <c r="E82" s="32" t="s">
        <v>1117</v>
      </c>
      <c r="F82" s="32" t="s">
        <v>891</v>
      </c>
      <c r="G82" s="32" t="s">
        <v>1126</v>
      </c>
      <c r="H82" s="65" t="s">
        <v>1396</v>
      </c>
      <c r="I82" s="33"/>
      <c r="J82" s="33"/>
      <c r="K82" s="33"/>
      <c r="L82" s="34"/>
      <c r="M82" s="6"/>
      <c r="N82" s="6"/>
      <c r="O82" s="6"/>
      <c r="P82" s="36"/>
      <c r="Q82" s="34"/>
      <c r="R82" s="34"/>
      <c r="S82" s="34"/>
      <c r="T82" s="37"/>
      <c r="U82" s="37"/>
      <c r="V82" s="38">
        <f>DATEDIF(Table1[[#This Row],[Sponsor*]],Table1[[#This Row],[Start Date*]],"d")</f>
        <v>0</v>
      </c>
      <c r="W82" s="62" t="e">
        <f>DATEDIF([1]!Table1[[#This Row],[Start Date*]],[1]!Table1[[#This Row],[End Date*]],"d")</f>
        <v>#VALUE!</v>
      </c>
      <c r="X82" s="39"/>
      <c r="Y82" s="34"/>
      <c r="Z82" s="34"/>
      <c r="AC82" s="34"/>
      <c r="AE82" s="34"/>
      <c r="AF82" s="40"/>
      <c r="AG82" s="34"/>
      <c r="AH82" s="34"/>
      <c r="AI82" s="34"/>
      <c r="AJ82" s="34"/>
      <c r="AK82" s="34">
        <f>SUBTOTAL(9,Table1[[#This Row],[Up Next Priority]:[Campus]])</f>
        <v>0</v>
      </c>
      <c r="AL82" s="52"/>
      <c r="AM82" s="42"/>
      <c r="AN82" s="43"/>
      <c r="AO82" s="44"/>
      <c r="AP82" s="44"/>
      <c r="AQ82" s="44"/>
      <c r="AR82" s="44"/>
      <c r="AS82" s="51"/>
      <c r="AT82" s="44"/>
      <c r="AU82" s="66">
        <f>SUM(Table1[[#This Row],[Org Impact Score]:[Tools]])</f>
        <v>0</v>
      </c>
      <c r="AV82" s="45"/>
      <c r="AW82" s="34"/>
      <c r="AX82" s="34"/>
      <c r="AY82" s="34"/>
    </row>
    <row r="83" spans="1:51">
      <c r="A83" s="31" t="s">
        <v>1392</v>
      </c>
      <c r="B83" s="32" t="s">
        <v>195</v>
      </c>
      <c r="C83" s="32" t="b">
        <v>1</v>
      </c>
      <c r="D83" s="32" t="s">
        <v>1391</v>
      </c>
      <c r="E83" s="32" t="s">
        <v>1117</v>
      </c>
      <c r="F83" s="32" t="s">
        <v>891</v>
      </c>
      <c r="G83" s="32" t="s">
        <v>1126</v>
      </c>
      <c r="H83" s="65" t="s">
        <v>1393</v>
      </c>
      <c r="I83" s="33"/>
      <c r="J83" s="33"/>
      <c r="K83" s="33"/>
      <c r="L83" s="34"/>
      <c r="M83" s="6"/>
      <c r="N83" s="6"/>
      <c r="O83" s="6"/>
      <c r="P83" s="36"/>
      <c r="Q83" s="34"/>
      <c r="R83" s="34"/>
      <c r="S83" s="34"/>
      <c r="T83" s="37"/>
      <c r="U83" s="37"/>
      <c r="V83" s="38">
        <f>DATEDIF(Table1[[#This Row],[Sponsor*]],Table1[[#This Row],[Start Date*]],"d")</f>
        <v>0</v>
      </c>
      <c r="W83" s="62" t="e">
        <f>DATEDIF([1]!Table1[[#This Row],[Start Date*]],[1]!Table1[[#This Row],[End Date*]],"d")</f>
        <v>#VALUE!</v>
      </c>
      <c r="X83" s="39"/>
      <c r="Y83" s="34"/>
      <c r="Z83" s="34"/>
      <c r="AC83" s="34"/>
      <c r="AE83" s="34"/>
      <c r="AF83" s="40"/>
      <c r="AG83" s="34"/>
      <c r="AH83" s="34"/>
      <c r="AI83" s="34"/>
      <c r="AJ83" s="34"/>
      <c r="AK83" s="34">
        <f>SUBTOTAL(9,Table1[[#This Row],[Up Next Priority]:[Campus]])</f>
        <v>0</v>
      </c>
      <c r="AL83" s="52"/>
      <c r="AM83" s="42"/>
      <c r="AN83" s="43"/>
      <c r="AO83" s="44"/>
      <c r="AP83" s="44"/>
      <c r="AQ83" s="44"/>
      <c r="AR83" s="44"/>
      <c r="AS83" s="51"/>
      <c r="AT83" s="44"/>
      <c r="AU83" s="66">
        <f>SUM(Table1[[#This Row],[Org Impact Score]:[Tools]])</f>
        <v>0</v>
      </c>
      <c r="AV83" s="45"/>
      <c r="AW83" s="34"/>
      <c r="AX83" s="34"/>
      <c r="AY83" s="34"/>
    </row>
    <row r="84" spans="1:51">
      <c r="A84" s="31" t="s">
        <v>981</v>
      </c>
      <c r="B84" s="32" t="s">
        <v>195</v>
      </c>
      <c r="C84" s="32" t="b">
        <v>0</v>
      </c>
      <c r="D84" s="32" t="s">
        <v>980</v>
      </c>
      <c r="E84" s="32" t="s">
        <v>1117</v>
      </c>
      <c r="F84" s="32" t="s">
        <v>891</v>
      </c>
      <c r="G84" s="32" t="s">
        <v>1126</v>
      </c>
      <c r="H84" s="65" t="s">
        <v>982</v>
      </c>
      <c r="I84" s="33"/>
      <c r="J84" s="33"/>
      <c r="K84" s="33"/>
      <c r="L84" s="34"/>
      <c r="M84" s="6"/>
      <c r="N84" s="6"/>
      <c r="O84" s="6"/>
      <c r="P84" s="36"/>
      <c r="Q84" s="34"/>
      <c r="R84" s="34"/>
      <c r="S84" s="34"/>
      <c r="T84" s="37"/>
      <c r="U84" s="37"/>
      <c r="V84" s="38">
        <f>DATEDIF(Table1[[#This Row],[Sponsor*]],Table1[[#This Row],[Start Date*]],"d")</f>
        <v>0</v>
      </c>
      <c r="W84" s="62" t="e">
        <f>DATEDIF([1]!Table1[[#This Row],[Start Date*]],[1]!Table1[[#This Row],[End Date*]],"d")</f>
        <v>#VALUE!</v>
      </c>
      <c r="X84" s="39"/>
      <c r="Y84" s="34"/>
      <c r="Z84" s="34"/>
      <c r="AC84" s="34"/>
      <c r="AE84" s="34"/>
      <c r="AF84" s="40"/>
      <c r="AG84" s="34"/>
      <c r="AH84" s="34"/>
      <c r="AI84" s="34"/>
      <c r="AJ84" s="34"/>
      <c r="AK84" s="34">
        <f>SUBTOTAL(9,Table1[[#This Row],[Up Next Priority]:[Campus]])</f>
        <v>0</v>
      </c>
      <c r="AL84" s="52"/>
      <c r="AM84" s="42"/>
      <c r="AN84" s="43"/>
      <c r="AO84" s="44"/>
      <c r="AP84" s="44"/>
      <c r="AQ84" s="44"/>
      <c r="AR84" s="44"/>
      <c r="AS84" s="51"/>
      <c r="AT84" s="44"/>
      <c r="AU84" s="66">
        <f>SUM(Table1[[#This Row],[Org Impact Score]:[Tools]])</f>
        <v>0</v>
      </c>
      <c r="AV84" s="45"/>
      <c r="AW84" s="34"/>
      <c r="AX84" s="34"/>
      <c r="AY84" s="34"/>
    </row>
    <row r="85" spans="1:51">
      <c r="A85" s="31" t="s">
        <v>978</v>
      </c>
      <c r="B85" s="32" t="s">
        <v>195</v>
      </c>
      <c r="C85" s="32" t="b">
        <v>0</v>
      </c>
      <c r="D85" s="32" t="s">
        <v>977</v>
      </c>
      <c r="E85" s="32" t="s">
        <v>1117</v>
      </c>
      <c r="F85" s="32" t="s">
        <v>891</v>
      </c>
      <c r="G85" s="32" t="s">
        <v>1132</v>
      </c>
      <c r="H85" s="65" t="s">
        <v>979</v>
      </c>
      <c r="I85" s="33"/>
      <c r="J85" s="33"/>
      <c r="K85" s="33"/>
      <c r="L85" s="34"/>
      <c r="M85" s="6"/>
      <c r="N85" s="6"/>
      <c r="O85" s="6"/>
      <c r="P85" s="36"/>
      <c r="Q85" s="34"/>
      <c r="R85" s="34"/>
      <c r="S85" s="34"/>
      <c r="T85" s="37"/>
      <c r="U85" s="37"/>
      <c r="V85" s="38">
        <f>DATEDIF(Table1[[#This Row],[Sponsor*]],Table1[[#This Row],[Start Date*]],"d")</f>
        <v>0</v>
      </c>
      <c r="W85" s="62" t="e">
        <f>DATEDIF([1]!Table1[[#This Row],[Start Date*]],[1]!Table1[[#This Row],[End Date*]],"d")</f>
        <v>#VALUE!</v>
      </c>
      <c r="X85" s="39"/>
      <c r="Y85" s="34"/>
      <c r="Z85" s="34"/>
      <c r="AC85" s="34"/>
      <c r="AE85" s="34"/>
      <c r="AF85" s="40"/>
      <c r="AG85" s="34"/>
      <c r="AH85" s="34"/>
      <c r="AI85" s="34"/>
      <c r="AJ85" s="34"/>
      <c r="AK85" s="34">
        <f>SUBTOTAL(9,Table1[[#This Row],[Up Next Priority]:[Campus]])</f>
        <v>0</v>
      </c>
      <c r="AL85" s="52"/>
      <c r="AM85" s="42"/>
      <c r="AN85" s="43"/>
      <c r="AO85" s="44"/>
      <c r="AP85" s="44"/>
      <c r="AQ85" s="44"/>
      <c r="AR85" s="44"/>
      <c r="AS85" s="51"/>
      <c r="AT85" s="44"/>
      <c r="AU85" s="66">
        <f>SUM(Table1[[#This Row],[Org Impact Score]:[Tools]])</f>
        <v>0</v>
      </c>
      <c r="AV85" s="45"/>
      <c r="AW85" s="34"/>
      <c r="AX85" s="34"/>
      <c r="AY85" s="34"/>
    </row>
    <row r="86" spans="1:51">
      <c r="A86" s="31" t="s">
        <v>972</v>
      </c>
      <c r="B86" s="32" t="s">
        <v>195</v>
      </c>
      <c r="C86" s="32" t="b">
        <v>0</v>
      </c>
      <c r="D86" s="32" t="s">
        <v>971</v>
      </c>
      <c r="E86" s="32" t="s">
        <v>1117</v>
      </c>
      <c r="F86" s="32" t="s">
        <v>891</v>
      </c>
      <c r="G86" s="32" t="s">
        <v>1126</v>
      </c>
      <c r="H86" s="65" t="s">
        <v>973</v>
      </c>
      <c r="I86" s="33"/>
      <c r="J86" s="33"/>
      <c r="K86" s="33"/>
      <c r="L86" s="34"/>
      <c r="M86" s="6"/>
      <c r="N86" s="6"/>
      <c r="O86" s="6"/>
      <c r="P86" s="36"/>
      <c r="Q86" s="34"/>
      <c r="R86" s="34"/>
      <c r="S86" s="34"/>
      <c r="T86" s="37"/>
      <c r="U86" s="37"/>
      <c r="V86" s="38">
        <f>DATEDIF(Table1[[#This Row],[Sponsor*]],Table1[[#This Row],[Start Date*]],"d")</f>
        <v>0</v>
      </c>
      <c r="W86" s="62" t="e">
        <f>DATEDIF([1]!Table1[[#This Row],[Start Date*]],[1]!Table1[[#This Row],[End Date*]],"d")</f>
        <v>#VALUE!</v>
      </c>
      <c r="X86" s="39"/>
      <c r="Y86" s="34"/>
      <c r="Z86" s="34"/>
      <c r="AC86" s="34"/>
      <c r="AE86" s="34"/>
      <c r="AF86" s="40"/>
      <c r="AG86" s="34"/>
      <c r="AH86" s="34"/>
      <c r="AI86" s="34"/>
      <c r="AJ86" s="34"/>
      <c r="AK86" s="34">
        <f>SUBTOTAL(9,Table1[[#This Row],[Up Next Priority]:[Campus]])</f>
        <v>0</v>
      </c>
      <c r="AL86" s="52"/>
      <c r="AM86" s="42"/>
      <c r="AN86" s="43"/>
      <c r="AO86" s="44"/>
      <c r="AP86" s="44"/>
      <c r="AQ86" s="44"/>
      <c r="AR86" s="44"/>
      <c r="AS86" s="51"/>
      <c r="AT86" s="44"/>
      <c r="AU86" s="66">
        <f>SUM(Table1[[#This Row],[Org Impact Score]:[Tools]])</f>
        <v>0</v>
      </c>
      <c r="AV86" s="45"/>
      <c r="AW86" s="34"/>
      <c r="AX86" s="34"/>
      <c r="AY86" s="34"/>
    </row>
    <row r="87" spans="1:51">
      <c r="A87" s="31" t="s">
        <v>1389</v>
      </c>
      <c r="B87" s="32" t="s">
        <v>195</v>
      </c>
      <c r="C87" s="32" t="b">
        <v>1</v>
      </c>
      <c r="D87" s="32" t="s">
        <v>1388</v>
      </c>
      <c r="E87" s="32" t="s">
        <v>1117</v>
      </c>
      <c r="F87" s="32" t="s">
        <v>891</v>
      </c>
      <c r="G87" s="32" t="s">
        <v>1126</v>
      </c>
      <c r="H87" s="65" t="s">
        <v>1390</v>
      </c>
      <c r="I87" s="33"/>
      <c r="J87" s="33"/>
      <c r="K87" s="33"/>
      <c r="L87" s="34"/>
      <c r="M87" s="6"/>
      <c r="N87" s="6"/>
      <c r="O87" s="6"/>
      <c r="P87" s="36"/>
      <c r="Q87" s="34"/>
      <c r="R87" s="34"/>
      <c r="S87" s="34"/>
      <c r="T87" s="37"/>
      <c r="U87" s="37"/>
      <c r="V87" s="38">
        <f>DATEDIF(Table1[[#This Row],[Sponsor*]],Table1[[#This Row],[Start Date*]],"d")</f>
        <v>0</v>
      </c>
      <c r="W87" s="62" t="e">
        <f>DATEDIF([1]!Table1[[#This Row],[Start Date*]],[1]!Table1[[#This Row],[End Date*]],"d")</f>
        <v>#VALUE!</v>
      </c>
      <c r="X87" s="39"/>
      <c r="Y87" s="34"/>
      <c r="Z87" s="34"/>
      <c r="AC87" s="34"/>
      <c r="AE87" s="34"/>
      <c r="AF87" s="40"/>
      <c r="AG87" s="34"/>
      <c r="AH87" s="34"/>
      <c r="AI87" s="34"/>
      <c r="AJ87" s="34"/>
      <c r="AK87" s="34">
        <f>SUBTOTAL(9,Table1[[#This Row],[Up Next Priority]:[Campus]])</f>
        <v>0</v>
      </c>
      <c r="AL87" s="52"/>
      <c r="AM87" s="42"/>
      <c r="AN87" s="43"/>
      <c r="AO87" s="44"/>
      <c r="AP87" s="44"/>
      <c r="AQ87" s="44"/>
      <c r="AR87" s="44"/>
      <c r="AS87" s="51"/>
      <c r="AT87" s="44"/>
      <c r="AU87" s="66">
        <f>SUM(Table1[[#This Row],[Org Impact Score]:[Tools]])</f>
        <v>0</v>
      </c>
      <c r="AV87" s="45"/>
      <c r="AW87" s="34"/>
      <c r="AX87" s="34"/>
      <c r="AY87" s="34"/>
    </row>
    <row r="88" spans="1:51">
      <c r="A88" s="31" t="s">
        <v>975</v>
      </c>
      <c r="B88" s="32" t="s">
        <v>195</v>
      </c>
      <c r="C88" s="32" t="b">
        <v>0</v>
      </c>
      <c r="D88" s="32" t="s">
        <v>974</v>
      </c>
      <c r="E88" s="32" t="s">
        <v>1117</v>
      </c>
      <c r="F88" s="32" t="s">
        <v>891</v>
      </c>
      <c r="G88" s="32" t="s">
        <v>1131</v>
      </c>
      <c r="H88" s="65" t="s">
        <v>976</v>
      </c>
      <c r="I88" s="33"/>
      <c r="J88" s="33"/>
      <c r="K88" s="33"/>
      <c r="L88" s="34"/>
      <c r="M88" s="6"/>
      <c r="N88" s="6"/>
      <c r="O88" s="6"/>
      <c r="P88" s="36"/>
      <c r="Q88" s="34"/>
      <c r="R88" s="34"/>
      <c r="S88" s="34"/>
      <c r="T88" s="37"/>
      <c r="U88" s="37"/>
      <c r="V88" s="38">
        <f>DATEDIF(Table1[[#This Row],[Sponsor*]],Table1[[#This Row],[Start Date*]],"d")</f>
        <v>0</v>
      </c>
      <c r="W88" s="62" t="e">
        <f>DATEDIF([1]!Table1[[#This Row],[Start Date*]],[1]!Table1[[#This Row],[End Date*]],"d")</f>
        <v>#VALUE!</v>
      </c>
      <c r="X88" s="39"/>
      <c r="Y88" s="34"/>
      <c r="Z88" s="34"/>
      <c r="AC88" s="34"/>
      <c r="AE88" s="34"/>
      <c r="AF88" s="40"/>
      <c r="AG88" s="34"/>
      <c r="AH88" s="34"/>
      <c r="AI88" s="34"/>
      <c r="AJ88" s="34"/>
      <c r="AK88" s="34">
        <f>SUBTOTAL(9,Table1[[#This Row],[Up Next Priority]:[Campus]])</f>
        <v>0</v>
      </c>
      <c r="AL88" s="52"/>
      <c r="AM88" s="42"/>
      <c r="AN88" s="43"/>
      <c r="AO88" s="44"/>
      <c r="AP88" s="44"/>
      <c r="AQ88" s="44"/>
      <c r="AR88" s="44"/>
      <c r="AS88" s="51"/>
      <c r="AT88" s="44"/>
      <c r="AU88" s="66">
        <f>SUM(Table1[[#This Row],[Org Impact Score]:[Tools]])</f>
        <v>0</v>
      </c>
      <c r="AV88" s="45"/>
      <c r="AW88" s="34"/>
      <c r="AX88" s="34"/>
      <c r="AY88" s="34"/>
    </row>
    <row r="89" spans="1:51">
      <c r="A89" s="31" t="s">
        <v>964</v>
      </c>
      <c r="B89" s="32" t="s">
        <v>195</v>
      </c>
      <c r="C89" s="32" t="b">
        <v>0</v>
      </c>
      <c r="D89" s="32" t="s">
        <v>963</v>
      </c>
      <c r="E89" s="32" t="s">
        <v>1117</v>
      </c>
      <c r="F89" s="32" t="s">
        <v>1118</v>
      </c>
      <c r="G89" s="32" t="s">
        <v>1126</v>
      </c>
      <c r="H89" s="65" t="s">
        <v>965</v>
      </c>
      <c r="I89" s="33"/>
      <c r="J89" s="33"/>
      <c r="K89" s="33"/>
      <c r="L89" s="34"/>
      <c r="M89" s="6"/>
      <c r="N89" s="6"/>
      <c r="O89" s="6"/>
      <c r="P89" s="36"/>
      <c r="Q89" s="34"/>
      <c r="R89" s="34"/>
      <c r="S89" s="34"/>
      <c r="T89" s="37"/>
      <c r="U89" s="37"/>
      <c r="V89" s="38">
        <f>DATEDIF(Table1[[#This Row],[Sponsor*]],Table1[[#This Row],[Start Date*]],"d")</f>
        <v>0</v>
      </c>
      <c r="W89" s="62" t="e">
        <f>DATEDIF([1]!Table1[[#This Row],[Start Date*]],[1]!Table1[[#This Row],[End Date*]],"d")</f>
        <v>#VALUE!</v>
      </c>
      <c r="X89" s="39"/>
      <c r="Y89" s="34"/>
      <c r="Z89" s="34"/>
      <c r="AC89" s="34"/>
      <c r="AE89" s="34"/>
      <c r="AF89" s="40"/>
      <c r="AG89" s="34"/>
      <c r="AH89" s="34"/>
      <c r="AI89" s="34"/>
      <c r="AJ89" s="34"/>
      <c r="AK89" s="34">
        <f>SUBTOTAL(9,Table1[[#This Row],[Up Next Priority]:[Campus]])</f>
        <v>0</v>
      </c>
      <c r="AL89" s="52"/>
      <c r="AM89" s="42"/>
      <c r="AN89" s="43"/>
      <c r="AO89" s="44"/>
      <c r="AP89" s="44"/>
      <c r="AQ89" s="44"/>
      <c r="AR89" s="44"/>
      <c r="AS89" s="51"/>
      <c r="AT89" s="44"/>
      <c r="AU89" s="66">
        <f>SUM(Table1[[#This Row],[Org Impact Score]:[Tools]])</f>
        <v>0</v>
      </c>
      <c r="AV89" s="45"/>
      <c r="AW89" s="34"/>
      <c r="AX89" s="34"/>
      <c r="AY89" s="34"/>
    </row>
    <row r="90" spans="1:51">
      <c r="A90" s="31" t="s">
        <v>961</v>
      </c>
      <c r="B90" s="32" t="s">
        <v>195</v>
      </c>
      <c r="C90" s="32" t="b">
        <v>0</v>
      </c>
      <c r="D90" s="32" t="s">
        <v>960</v>
      </c>
      <c r="E90" s="32" t="s">
        <v>1117</v>
      </c>
      <c r="F90" s="32" t="s">
        <v>1118</v>
      </c>
      <c r="G90" s="32" t="s">
        <v>1129</v>
      </c>
      <c r="H90" s="65" t="s">
        <v>962</v>
      </c>
      <c r="I90" s="33"/>
      <c r="J90" s="33"/>
      <c r="K90" s="33"/>
      <c r="L90" s="34"/>
      <c r="M90" s="6"/>
      <c r="N90" s="6"/>
      <c r="O90" s="6"/>
      <c r="P90" s="36"/>
      <c r="Q90" s="34"/>
      <c r="R90" s="34"/>
      <c r="S90" s="34"/>
      <c r="T90" s="37"/>
      <c r="U90" s="37"/>
      <c r="V90" s="38">
        <f>DATEDIF(Table1[[#This Row],[Sponsor*]],Table1[[#This Row],[Start Date*]],"d")</f>
        <v>0</v>
      </c>
      <c r="W90" s="62" t="e">
        <f>DATEDIF([1]!Table1[[#This Row],[Start Date*]],[1]!Table1[[#This Row],[End Date*]],"d")</f>
        <v>#VALUE!</v>
      </c>
      <c r="X90" s="39"/>
      <c r="Y90" s="34"/>
      <c r="Z90" s="34"/>
      <c r="AC90" s="34"/>
      <c r="AE90" s="34"/>
      <c r="AF90" s="40"/>
      <c r="AG90" s="34"/>
      <c r="AH90" s="34"/>
      <c r="AI90" s="34"/>
      <c r="AJ90" s="34"/>
      <c r="AK90" s="34">
        <f>SUBTOTAL(9,Table1[[#This Row],[Up Next Priority]:[Campus]])</f>
        <v>0</v>
      </c>
      <c r="AL90" s="52"/>
      <c r="AM90" s="42"/>
      <c r="AN90" s="43"/>
      <c r="AO90" s="44"/>
      <c r="AP90" s="44"/>
      <c r="AQ90" s="44"/>
      <c r="AR90" s="44"/>
      <c r="AS90" s="51"/>
      <c r="AT90" s="44"/>
      <c r="AU90" s="66">
        <f>SUM(Table1[[#This Row],[Org Impact Score]:[Tools]])</f>
        <v>0</v>
      </c>
      <c r="AV90" s="45"/>
      <c r="AW90" s="34"/>
      <c r="AX90" s="34"/>
      <c r="AY90" s="34"/>
    </row>
    <row r="91" spans="1:51">
      <c r="A91" s="31" t="s">
        <v>958</v>
      </c>
      <c r="B91" s="32" t="s">
        <v>195</v>
      </c>
      <c r="C91" s="32" t="b">
        <v>0</v>
      </c>
      <c r="D91" s="32" t="s">
        <v>957</v>
      </c>
      <c r="E91" s="32" t="s">
        <v>1117</v>
      </c>
      <c r="F91" s="32" t="s">
        <v>1118</v>
      </c>
      <c r="G91" s="32" t="s">
        <v>1126</v>
      </c>
      <c r="H91" s="65" t="s">
        <v>959</v>
      </c>
      <c r="I91" s="33"/>
      <c r="J91" s="33"/>
      <c r="K91" s="33"/>
      <c r="L91" s="34"/>
      <c r="M91" s="6"/>
      <c r="N91" s="6"/>
      <c r="O91" s="6"/>
      <c r="P91" s="36"/>
      <c r="Q91" s="34"/>
      <c r="R91" s="34"/>
      <c r="S91" s="34"/>
      <c r="T91" s="37"/>
      <c r="U91" s="37"/>
      <c r="V91" s="38">
        <f>DATEDIF(Table1[[#This Row],[Sponsor*]],Table1[[#This Row],[Start Date*]],"d")</f>
        <v>0</v>
      </c>
      <c r="W91" s="62" t="e">
        <f>DATEDIF([1]!Table1[[#This Row],[Start Date*]],[1]!Table1[[#This Row],[End Date*]],"d")</f>
        <v>#VALUE!</v>
      </c>
      <c r="X91" s="39"/>
      <c r="Y91" s="34"/>
      <c r="Z91" s="34"/>
      <c r="AC91" s="34"/>
      <c r="AE91" s="34"/>
      <c r="AF91" s="40"/>
      <c r="AG91" s="34"/>
      <c r="AH91" s="34"/>
      <c r="AI91" s="34"/>
      <c r="AJ91" s="34"/>
      <c r="AK91" s="34">
        <f>SUBTOTAL(9,Table1[[#This Row],[Up Next Priority]:[Campus]])</f>
        <v>0</v>
      </c>
      <c r="AL91" s="52"/>
      <c r="AM91" s="42"/>
      <c r="AN91" s="43"/>
      <c r="AO91" s="44"/>
      <c r="AP91" s="44"/>
      <c r="AQ91" s="44"/>
      <c r="AR91" s="44"/>
      <c r="AS91" s="51"/>
      <c r="AT91" s="44"/>
      <c r="AU91" s="66">
        <f>SUM(Table1[[#This Row],[Org Impact Score]:[Tools]])</f>
        <v>0</v>
      </c>
      <c r="AV91" s="45"/>
      <c r="AW91" s="34"/>
      <c r="AX91" s="34"/>
      <c r="AY91" s="34"/>
    </row>
    <row r="92" spans="1:51">
      <c r="A92" s="31" t="s">
        <v>955</v>
      </c>
      <c r="B92" s="32" t="s">
        <v>195</v>
      </c>
      <c r="C92" s="32" t="b">
        <v>0</v>
      </c>
      <c r="D92" s="32" t="s">
        <v>954</v>
      </c>
      <c r="E92" s="32" t="s">
        <v>1117</v>
      </c>
      <c r="F92" s="32" t="s">
        <v>1118</v>
      </c>
      <c r="G92" s="32" t="s">
        <v>1126</v>
      </c>
      <c r="H92" s="65" t="s">
        <v>956</v>
      </c>
      <c r="I92" s="33"/>
      <c r="J92" s="33"/>
      <c r="K92" s="33"/>
      <c r="L92" s="34"/>
      <c r="M92" s="6"/>
      <c r="N92" s="6"/>
      <c r="O92" s="6"/>
      <c r="P92" s="36"/>
      <c r="Q92" s="34"/>
      <c r="R92" s="34"/>
      <c r="S92" s="34"/>
      <c r="T92" s="37"/>
      <c r="U92" s="37"/>
      <c r="V92" s="38">
        <f>DATEDIF(Table1[[#This Row],[Sponsor*]],Table1[[#This Row],[Start Date*]],"d")</f>
        <v>0</v>
      </c>
      <c r="W92" s="62" t="e">
        <f>DATEDIF([1]!Table1[[#This Row],[Start Date*]],[1]!Table1[[#This Row],[End Date*]],"d")</f>
        <v>#VALUE!</v>
      </c>
      <c r="X92" s="39"/>
      <c r="Y92" s="34"/>
      <c r="Z92" s="34"/>
      <c r="AC92" s="34"/>
      <c r="AE92" s="34"/>
      <c r="AF92" s="40"/>
      <c r="AG92" s="34"/>
      <c r="AH92" s="34"/>
      <c r="AI92" s="34"/>
      <c r="AJ92" s="34"/>
      <c r="AK92" s="34">
        <f>SUBTOTAL(9,Table1[[#This Row],[Up Next Priority]:[Campus]])</f>
        <v>0</v>
      </c>
      <c r="AL92" s="52"/>
      <c r="AM92" s="42"/>
      <c r="AN92" s="43"/>
      <c r="AO92" s="44"/>
      <c r="AP92" s="44"/>
      <c r="AQ92" s="44"/>
      <c r="AR92" s="44"/>
      <c r="AS92" s="51"/>
      <c r="AT92" s="44"/>
      <c r="AU92" s="66">
        <f>SUM(Table1[[#This Row],[Org Impact Score]:[Tools]])</f>
        <v>0</v>
      </c>
      <c r="AV92" s="45"/>
      <c r="AW92" s="34"/>
      <c r="AX92" s="34"/>
      <c r="AY92" s="34"/>
    </row>
    <row r="93" spans="1:51">
      <c r="A93" s="31" t="s">
        <v>952</v>
      </c>
      <c r="B93" s="32" t="s">
        <v>195</v>
      </c>
      <c r="C93" s="32" t="b">
        <v>0</v>
      </c>
      <c r="D93" s="32" t="s">
        <v>951</v>
      </c>
      <c r="E93" s="32" t="s">
        <v>1117</v>
      </c>
      <c r="F93" s="32" t="s">
        <v>1118</v>
      </c>
      <c r="G93" s="32" t="s">
        <v>1124</v>
      </c>
      <c r="H93" s="65" t="s">
        <v>953</v>
      </c>
      <c r="I93" s="33"/>
      <c r="J93" s="33"/>
      <c r="K93" s="33"/>
      <c r="L93" s="34"/>
      <c r="M93" s="6"/>
      <c r="N93" s="6"/>
      <c r="O93" s="6"/>
      <c r="P93" s="36"/>
      <c r="Q93" s="34"/>
      <c r="R93" s="34"/>
      <c r="S93" s="34"/>
      <c r="T93" s="37"/>
      <c r="U93" s="37"/>
      <c r="V93" s="38">
        <f>DATEDIF(Table1[[#This Row],[Sponsor*]],Table1[[#This Row],[Start Date*]],"d")</f>
        <v>0</v>
      </c>
      <c r="W93" s="62" t="e">
        <f>DATEDIF([1]!Table1[[#This Row],[Start Date*]],[1]!Table1[[#This Row],[End Date*]],"d")</f>
        <v>#VALUE!</v>
      </c>
      <c r="X93" s="39"/>
      <c r="Y93" s="34"/>
      <c r="Z93" s="34"/>
      <c r="AC93" s="34"/>
      <c r="AE93" s="34"/>
      <c r="AF93" s="40"/>
      <c r="AG93" s="34"/>
      <c r="AH93" s="34"/>
      <c r="AI93" s="34"/>
      <c r="AJ93" s="34"/>
      <c r="AK93" s="34">
        <f>SUBTOTAL(9,Table1[[#This Row],[Up Next Priority]:[Campus]])</f>
        <v>0</v>
      </c>
      <c r="AL93" s="52"/>
      <c r="AM93" s="42"/>
      <c r="AN93" s="43"/>
      <c r="AO93" s="44"/>
      <c r="AP93" s="44"/>
      <c r="AQ93" s="44"/>
      <c r="AR93" s="44"/>
      <c r="AS93" s="51"/>
      <c r="AT93" s="44"/>
      <c r="AU93" s="66">
        <f>SUM(Table1[[#This Row],[Org Impact Score]:[Tools]])</f>
        <v>0</v>
      </c>
      <c r="AV93" s="45"/>
      <c r="AW93" s="34"/>
      <c r="AX93" s="34"/>
      <c r="AY93" s="34"/>
    </row>
    <row r="94" spans="1:51">
      <c r="A94" s="31" t="s">
        <v>949</v>
      </c>
      <c r="B94" s="32" t="s">
        <v>195</v>
      </c>
      <c r="C94" s="32" t="b">
        <v>0</v>
      </c>
      <c r="D94" s="32" t="s">
        <v>948</v>
      </c>
      <c r="E94" s="32" t="s">
        <v>1117</v>
      </c>
      <c r="F94" s="32" t="s">
        <v>1118</v>
      </c>
      <c r="G94" s="32" t="s">
        <v>1128</v>
      </c>
      <c r="H94" s="65" t="s">
        <v>950</v>
      </c>
      <c r="I94" s="33"/>
      <c r="J94" s="33"/>
      <c r="K94" s="33"/>
      <c r="L94" s="34"/>
      <c r="M94" s="6"/>
      <c r="N94" s="6"/>
      <c r="O94" s="6"/>
      <c r="P94" s="36"/>
      <c r="Q94" s="34"/>
      <c r="R94" s="34"/>
      <c r="S94" s="34"/>
      <c r="T94" s="37"/>
      <c r="U94" s="37"/>
      <c r="V94" s="38">
        <f>DATEDIF(Table1[[#This Row],[Sponsor*]],Table1[[#This Row],[Start Date*]],"d")</f>
        <v>0</v>
      </c>
      <c r="W94" s="62" t="e">
        <f>DATEDIF([1]!Table1[[#This Row],[Start Date*]],[1]!Table1[[#This Row],[End Date*]],"d")</f>
        <v>#VALUE!</v>
      </c>
      <c r="X94" s="39"/>
      <c r="Y94" s="34"/>
      <c r="Z94" s="34"/>
      <c r="AC94" s="34"/>
      <c r="AE94" s="34"/>
      <c r="AF94" s="40"/>
      <c r="AG94" s="34"/>
      <c r="AH94" s="34"/>
      <c r="AI94" s="34"/>
      <c r="AJ94" s="34"/>
      <c r="AK94" s="34">
        <f>SUBTOTAL(9,Table1[[#This Row],[Up Next Priority]:[Campus]])</f>
        <v>0</v>
      </c>
      <c r="AL94" s="52"/>
      <c r="AM94" s="42"/>
      <c r="AN94" s="43"/>
      <c r="AO94" s="44"/>
      <c r="AP94" s="44"/>
      <c r="AQ94" s="44"/>
      <c r="AR94" s="44"/>
      <c r="AS94" s="51"/>
      <c r="AT94" s="44"/>
      <c r="AU94" s="66">
        <f>SUM(Table1[[#This Row],[Org Impact Score]:[Tools]])</f>
        <v>0</v>
      </c>
      <c r="AV94" s="45"/>
      <c r="AW94" s="34"/>
      <c r="AX94" s="34"/>
      <c r="AY94" s="34"/>
    </row>
    <row r="95" spans="1:51">
      <c r="A95" s="31" t="s">
        <v>946</v>
      </c>
      <c r="B95" s="32" t="s">
        <v>195</v>
      </c>
      <c r="C95" s="32" t="b">
        <v>0</v>
      </c>
      <c r="D95" s="32" t="s">
        <v>945</v>
      </c>
      <c r="E95" s="32" t="s">
        <v>1117</v>
      </c>
      <c r="F95" s="32" t="s">
        <v>1118</v>
      </c>
      <c r="G95" s="32" t="s">
        <v>1126</v>
      </c>
      <c r="H95" s="65" t="s">
        <v>947</v>
      </c>
      <c r="I95" s="33"/>
      <c r="J95" s="33"/>
      <c r="K95" s="33"/>
      <c r="L95" s="34"/>
      <c r="M95" s="6"/>
      <c r="N95" s="6"/>
      <c r="O95" s="6"/>
      <c r="P95" s="36"/>
      <c r="Q95" s="34"/>
      <c r="R95" s="34"/>
      <c r="S95" s="34"/>
      <c r="T95" s="37"/>
      <c r="U95" s="37"/>
      <c r="V95" s="38">
        <f>DATEDIF(Table1[[#This Row],[Sponsor*]],Table1[[#This Row],[Start Date*]],"d")</f>
        <v>0</v>
      </c>
      <c r="W95" s="62" t="e">
        <f>DATEDIF([1]!Table1[[#This Row],[Start Date*]],[1]!Table1[[#This Row],[End Date*]],"d")</f>
        <v>#VALUE!</v>
      </c>
      <c r="X95" s="39"/>
      <c r="Y95" s="34"/>
      <c r="Z95" s="34"/>
      <c r="AC95" s="34"/>
      <c r="AE95" s="34"/>
      <c r="AF95" s="40"/>
      <c r="AG95" s="34"/>
      <c r="AH95" s="34"/>
      <c r="AI95" s="34"/>
      <c r="AJ95" s="34"/>
      <c r="AK95" s="34">
        <f>SUBTOTAL(9,Table1[[#This Row],[Up Next Priority]:[Campus]])</f>
        <v>0</v>
      </c>
      <c r="AL95" s="52"/>
      <c r="AM95" s="42"/>
      <c r="AN95" s="43"/>
      <c r="AO95" s="44"/>
      <c r="AP95" s="44"/>
      <c r="AQ95" s="44"/>
      <c r="AR95" s="44"/>
      <c r="AS95" s="51"/>
      <c r="AT95" s="44"/>
      <c r="AU95" s="66">
        <f>SUM(Table1[[#This Row],[Org Impact Score]:[Tools]])</f>
        <v>0</v>
      </c>
      <c r="AV95" s="45"/>
      <c r="AW95" s="34"/>
      <c r="AX95" s="34"/>
      <c r="AY95" s="34"/>
    </row>
    <row r="96" spans="1:51">
      <c r="A96" s="31" t="s">
        <v>943</v>
      </c>
      <c r="B96" s="32" t="s">
        <v>195</v>
      </c>
      <c r="C96" s="32" t="b">
        <v>0</v>
      </c>
      <c r="D96" s="32" t="s">
        <v>942</v>
      </c>
      <c r="E96" s="32" t="s">
        <v>1117</v>
      </c>
      <c r="F96" s="32" t="s">
        <v>1118</v>
      </c>
      <c r="G96" s="32" t="s">
        <v>1126</v>
      </c>
      <c r="H96" s="65" t="s">
        <v>944</v>
      </c>
      <c r="I96" s="33"/>
      <c r="J96" s="33"/>
      <c r="K96" s="33"/>
      <c r="L96" s="34"/>
      <c r="M96" s="6"/>
      <c r="N96" s="6"/>
      <c r="O96" s="6"/>
      <c r="P96" s="36"/>
      <c r="Q96" s="34"/>
      <c r="R96" s="34"/>
      <c r="S96" s="34"/>
      <c r="T96" s="37"/>
      <c r="U96" s="37"/>
      <c r="V96" s="38">
        <f>DATEDIF(Table1[[#This Row],[Sponsor*]],Table1[[#This Row],[Start Date*]],"d")</f>
        <v>0</v>
      </c>
      <c r="W96" s="62" t="e">
        <f>DATEDIF([1]!Table1[[#This Row],[Start Date*]],[1]!Table1[[#This Row],[End Date*]],"d")</f>
        <v>#VALUE!</v>
      </c>
      <c r="X96" s="39"/>
      <c r="Y96" s="34"/>
      <c r="Z96" s="34"/>
      <c r="AC96" s="34"/>
      <c r="AE96" s="34"/>
      <c r="AF96" s="40"/>
      <c r="AG96" s="34"/>
      <c r="AH96" s="34"/>
      <c r="AI96" s="34"/>
      <c r="AJ96" s="34"/>
      <c r="AK96" s="34">
        <f>SUBTOTAL(9,Table1[[#This Row],[Up Next Priority]:[Campus]])</f>
        <v>0</v>
      </c>
      <c r="AL96" s="52"/>
      <c r="AM96" s="42"/>
      <c r="AN96" s="43"/>
      <c r="AO96" s="44"/>
      <c r="AP96" s="44"/>
      <c r="AQ96" s="44"/>
      <c r="AR96" s="44"/>
      <c r="AS96" s="51"/>
      <c r="AT96" s="44"/>
      <c r="AU96" s="66">
        <f>SUM(Table1[[#This Row],[Org Impact Score]:[Tools]])</f>
        <v>0</v>
      </c>
      <c r="AV96" s="45"/>
      <c r="AW96" s="34"/>
      <c r="AX96" s="34"/>
      <c r="AY96" s="34"/>
    </row>
    <row r="97" spans="1:51">
      <c r="A97" s="31" t="s">
        <v>940</v>
      </c>
      <c r="B97" s="32" t="s">
        <v>195</v>
      </c>
      <c r="C97" s="32" t="b">
        <v>0</v>
      </c>
      <c r="D97" s="32" t="s">
        <v>939</v>
      </c>
      <c r="E97" s="32" t="s">
        <v>1117</v>
      </c>
      <c r="F97" s="32" t="s">
        <v>1118</v>
      </c>
      <c r="G97" s="32" t="s">
        <v>1126</v>
      </c>
      <c r="H97" s="65" t="s">
        <v>941</v>
      </c>
      <c r="I97" s="33"/>
      <c r="J97" s="33"/>
      <c r="K97" s="33"/>
      <c r="L97" s="34"/>
      <c r="M97" s="6"/>
      <c r="N97" s="6"/>
      <c r="O97" s="6"/>
      <c r="P97" s="36"/>
      <c r="Q97" s="34"/>
      <c r="R97" s="34"/>
      <c r="S97" s="34"/>
      <c r="T97" s="37"/>
      <c r="U97" s="37"/>
      <c r="V97" s="38">
        <f>DATEDIF(Table1[[#This Row],[Sponsor*]],Table1[[#This Row],[Start Date*]],"d")</f>
        <v>0</v>
      </c>
      <c r="W97" s="62" t="e">
        <f>DATEDIF([1]!Table1[[#This Row],[Start Date*]],[1]!Table1[[#This Row],[End Date*]],"d")</f>
        <v>#VALUE!</v>
      </c>
      <c r="X97" s="39"/>
      <c r="Y97" s="34"/>
      <c r="Z97" s="34"/>
      <c r="AC97" s="34"/>
      <c r="AE97" s="34"/>
      <c r="AF97" s="40"/>
      <c r="AG97" s="34"/>
      <c r="AH97" s="34"/>
      <c r="AI97" s="34"/>
      <c r="AJ97" s="34"/>
      <c r="AK97" s="34">
        <f>SUBTOTAL(9,Table1[[#This Row],[Up Next Priority]:[Campus]])</f>
        <v>0</v>
      </c>
      <c r="AL97" s="52"/>
      <c r="AM97" s="42"/>
      <c r="AN97" s="43"/>
      <c r="AO97" s="44"/>
      <c r="AP97" s="44"/>
      <c r="AQ97" s="44"/>
      <c r="AR97" s="44"/>
      <c r="AS97" s="51"/>
      <c r="AT97" s="44"/>
      <c r="AU97" s="66">
        <f>SUM(Table1[[#This Row],[Org Impact Score]:[Tools]])</f>
        <v>0</v>
      </c>
      <c r="AV97" s="45"/>
      <c r="AW97" s="34"/>
      <c r="AX97" s="34"/>
      <c r="AY97" s="34"/>
    </row>
    <row r="98" spans="1:51">
      <c r="A98" s="31" t="s">
        <v>937</v>
      </c>
      <c r="B98" s="32" t="s">
        <v>195</v>
      </c>
      <c r="C98" s="32" t="b">
        <v>0</v>
      </c>
      <c r="D98" s="32" t="s">
        <v>936</v>
      </c>
      <c r="E98" s="32" t="s">
        <v>1117</v>
      </c>
      <c r="F98" s="32" t="s">
        <v>1118</v>
      </c>
      <c r="G98" s="32" t="s">
        <v>1127</v>
      </c>
      <c r="H98" s="65" t="s">
        <v>938</v>
      </c>
      <c r="I98" s="33"/>
      <c r="J98" s="33"/>
      <c r="K98" s="33"/>
      <c r="L98" s="34"/>
      <c r="M98" s="6"/>
      <c r="N98" s="6"/>
      <c r="O98" s="6"/>
      <c r="P98" s="36"/>
      <c r="Q98" s="34"/>
      <c r="R98" s="34"/>
      <c r="S98" s="34"/>
      <c r="T98" s="37"/>
      <c r="U98" s="37"/>
      <c r="V98" s="38">
        <f>DATEDIF(Table1[[#This Row],[Sponsor*]],Table1[[#This Row],[Start Date*]],"d")</f>
        <v>0</v>
      </c>
      <c r="W98" s="62" t="e">
        <f>DATEDIF([1]!Table1[[#This Row],[Start Date*]],[1]!Table1[[#This Row],[End Date*]],"d")</f>
        <v>#VALUE!</v>
      </c>
      <c r="X98" s="39"/>
      <c r="Y98" s="34"/>
      <c r="Z98" s="34"/>
      <c r="AC98" s="34"/>
      <c r="AE98" s="34"/>
      <c r="AF98" s="40"/>
      <c r="AG98" s="34"/>
      <c r="AH98" s="34"/>
      <c r="AI98" s="34"/>
      <c r="AJ98" s="34"/>
      <c r="AK98" s="34">
        <f>SUBTOTAL(9,Table1[[#This Row],[Up Next Priority]:[Campus]])</f>
        <v>0</v>
      </c>
      <c r="AL98" s="52"/>
      <c r="AM98" s="42"/>
      <c r="AN98" s="43"/>
      <c r="AO98" s="44"/>
      <c r="AP98" s="44"/>
      <c r="AQ98" s="44"/>
      <c r="AR98" s="44"/>
      <c r="AS98" s="51"/>
      <c r="AT98" s="44"/>
      <c r="AU98" s="66">
        <f>SUM(Table1[[#This Row],[Org Impact Score]:[Tools]])</f>
        <v>0</v>
      </c>
      <c r="AV98" s="45"/>
      <c r="AW98" s="34"/>
      <c r="AX98" s="34"/>
      <c r="AY98" s="34"/>
    </row>
    <row r="99" spans="1:51">
      <c r="A99" s="31" t="s">
        <v>934</v>
      </c>
      <c r="B99" s="32" t="s">
        <v>195</v>
      </c>
      <c r="C99" s="32" t="b">
        <v>0</v>
      </c>
      <c r="D99" s="32" t="s">
        <v>933</v>
      </c>
      <c r="E99" s="32" t="s">
        <v>1117</v>
      </c>
      <c r="F99" s="32" t="s">
        <v>1118</v>
      </c>
      <c r="G99" s="32" t="s">
        <v>1126</v>
      </c>
      <c r="H99" s="65" t="s">
        <v>935</v>
      </c>
      <c r="I99" s="33"/>
      <c r="J99" s="33"/>
      <c r="K99" s="33"/>
      <c r="L99" s="34"/>
      <c r="M99" s="6"/>
      <c r="N99" s="6"/>
      <c r="O99" s="6"/>
      <c r="P99" s="36"/>
      <c r="Q99" s="34"/>
      <c r="R99" s="34"/>
      <c r="S99" s="34"/>
      <c r="T99" s="37"/>
      <c r="U99" s="37"/>
      <c r="V99" s="38">
        <f>DATEDIF(Table1[[#This Row],[Sponsor*]],Table1[[#This Row],[Start Date*]],"d")</f>
        <v>0</v>
      </c>
      <c r="W99" s="62" t="e">
        <f>DATEDIF([1]!Table1[[#This Row],[Start Date*]],[1]!Table1[[#This Row],[End Date*]],"d")</f>
        <v>#VALUE!</v>
      </c>
      <c r="X99" s="39"/>
      <c r="Y99" s="34"/>
      <c r="Z99" s="34"/>
      <c r="AC99" s="34"/>
      <c r="AE99" s="34"/>
      <c r="AF99" s="40"/>
      <c r="AG99" s="34"/>
      <c r="AH99" s="34"/>
      <c r="AI99" s="34"/>
      <c r="AJ99" s="34"/>
      <c r="AK99" s="34">
        <f>SUBTOTAL(9,Table1[[#This Row],[Up Next Priority]:[Campus]])</f>
        <v>0</v>
      </c>
      <c r="AL99" s="52"/>
      <c r="AM99" s="42"/>
      <c r="AN99" s="43"/>
      <c r="AO99" s="44"/>
      <c r="AP99" s="44"/>
      <c r="AQ99" s="44"/>
      <c r="AR99" s="44"/>
      <c r="AS99" s="51"/>
      <c r="AT99" s="44"/>
      <c r="AU99" s="66">
        <f>SUM(Table1[[#This Row],[Org Impact Score]:[Tools]])</f>
        <v>0</v>
      </c>
      <c r="AV99" s="45"/>
      <c r="AW99" s="34"/>
      <c r="AX99" s="34"/>
      <c r="AY99" s="34"/>
    </row>
    <row r="100" spans="1:51">
      <c r="A100" s="31" t="s">
        <v>931</v>
      </c>
      <c r="B100" s="32" t="s">
        <v>195</v>
      </c>
      <c r="C100" s="32" t="b">
        <v>1</v>
      </c>
      <c r="D100" s="32" t="s">
        <v>1421</v>
      </c>
      <c r="E100" s="32" t="s">
        <v>1117</v>
      </c>
      <c r="F100" s="32" t="s">
        <v>1119</v>
      </c>
      <c r="G100" s="32" t="s">
        <v>1126</v>
      </c>
      <c r="H100" s="65" t="s">
        <v>1422</v>
      </c>
      <c r="I100" s="33"/>
      <c r="J100" s="33"/>
      <c r="K100" s="33"/>
      <c r="L100" s="34"/>
      <c r="M100" s="6"/>
      <c r="N100" s="6"/>
      <c r="O100" s="6"/>
      <c r="P100" s="36"/>
      <c r="Q100" s="34"/>
      <c r="R100" s="34"/>
      <c r="S100" s="34"/>
      <c r="T100" s="37"/>
      <c r="U100" s="37"/>
      <c r="V100" s="38">
        <f>DATEDIF(Table1[[#This Row],[Sponsor*]],Table1[[#This Row],[Start Date*]],"d")</f>
        <v>0</v>
      </c>
      <c r="W100" s="62" t="e">
        <f>DATEDIF([1]!Table1[[#This Row],[Start Date*]],[1]!Table1[[#This Row],[End Date*]],"d")</f>
        <v>#VALUE!</v>
      </c>
      <c r="X100" s="39"/>
      <c r="Y100" s="34"/>
      <c r="Z100" s="34"/>
      <c r="AC100" s="34"/>
      <c r="AE100" s="34"/>
      <c r="AF100" s="40"/>
      <c r="AG100" s="34"/>
      <c r="AH100" s="34"/>
      <c r="AI100" s="34"/>
      <c r="AJ100" s="34"/>
      <c r="AK100" s="34">
        <f>SUBTOTAL(9,Table1[[#This Row],[Up Next Priority]:[Campus]])</f>
        <v>0</v>
      </c>
      <c r="AL100" s="52"/>
      <c r="AM100" s="42"/>
      <c r="AN100" s="43"/>
      <c r="AO100" s="44"/>
      <c r="AP100" s="44"/>
      <c r="AQ100" s="44"/>
      <c r="AR100" s="44"/>
      <c r="AS100" s="51"/>
      <c r="AT100" s="44"/>
      <c r="AU100" s="66">
        <f>SUM(Table1[[#This Row],[Org Impact Score]:[Tools]])</f>
        <v>0</v>
      </c>
      <c r="AV100" s="45"/>
      <c r="AW100" s="34"/>
      <c r="AX100" s="34"/>
      <c r="AY100" s="34"/>
    </row>
    <row r="101" spans="1:51">
      <c r="A101" s="31" t="s">
        <v>928</v>
      </c>
      <c r="B101" s="32" t="s">
        <v>195</v>
      </c>
      <c r="C101" s="32" t="b">
        <v>0</v>
      </c>
      <c r="D101" s="32" t="s">
        <v>927</v>
      </c>
      <c r="E101" s="32" t="s">
        <v>1117</v>
      </c>
      <c r="F101" s="32" t="s">
        <v>1118</v>
      </c>
      <c r="G101" s="32"/>
      <c r="H101" s="65" t="s">
        <v>929</v>
      </c>
      <c r="I101" s="33"/>
      <c r="J101" s="33"/>
      <c r="K101" s="33"/>
      <c r="L101" s="34"/>
      <c r="M101" s="6"/>
      <c r="N101" s="6"/>
      <c r="O101" s="6"/>
      <c r="P101" s="36"/>
      <c r="Q101" s="34"/>
      <c r="R101" s="34"/>
      <c r="S101" s="34"/>
      <c r="T101" s="37"/>
      <c r="U101" s="37"/>
      <c r="V101" s="38">
        <f>DATEDIF(Table1[[#This Row],[Sponsor*]],Table1[[#This Row],[Start Date*]],"d")</f>
        <v>0</v>
      </c>
      <c r="W101" s="62" t="e">
        <f>DATEDIF([1]!Table1[[#This Row],[Start Date*]],[1]!Table1[[#This Row],[End Date*]],"d")</f>
        <v>#VALUE!</v>
      </c>
      <c r="X101" s="39"/>
      <c r="Y101" s="34"/>
      <c r="Z101" s="34"/>
      <c r="AC101" s="34"/>
      <c r="AE101" s="34"/>
      <c r="AF101" s="40"/>
      <c r="AG101" s="34"/>
      <c r="AH101" s="34"/>
      <c r="AI101" s="34"/>
      <c r="AJ101" s="34"/>
      <c r="AK101" s="34">
        <f>SUBTOTAL(9,Table1[[#This Row],[Up Next Priority]:[Campus]])</f>
        <v>0</v>
      </c>
      <c r="AL101" s="52"/>
      <c r="AM101" s="42"/>
      <c r="AN101" s="43"/>
      <c r="AO101" s="44"/>
      <c r="AP101" s="44"/>
      <c r="AQ101" s="44"/>
      <c r="AR101" s="44"/>
      <c r="AS101" s="51"/>
      <c r="AT101" s="44"/>
      <c r="AU101" s="66">
        <f>SUM(Table1[[#This Row],[Org Impact Score]:[Tools]])</f>
        <v>0</v>
      </c>
      <c r="AV101" s="45"/>
      <c r="AW101" s="34"/>
      <c r="AX101" s="34"/>
      <c r="AY101" s="34"/>
    </row>
    <row r="102" spans="1:51">
      <c r="A102" s="31" t="s">
        <v>888</v>
      </c>
      <c r="B102" s="32" t="s">
        <v>195</v>
      </c>
      <c r="C102" s="32" t="b">
        <v>0</v>
      </c>
      <c r="D102" s="32" t="s">
        <v>887</v>
      </c>
      <c r="E102" s="32" t="s">
        <v>890</v>
      </c>
      <c r="F102" s="32" t="s">
        <v>903</v>
      </c>
      <c r="G102" s="32"/>
      <c r="H102" s="65" t="s">
        <v>889</v>
      </c>
      <c r="I102" s="33"/>
      <c r="J102" s="33"/>
      <c r="K102" s="33"/>
      <c r="L102" s="34"/>
      <c r="M102" s="6"/>
      <c r="N102" s="6"/>
      <c r="O102" s="6"/>
      <c r="P102" s="36"/>
      <c r="Q102" s="34"/>
      <c r="R102" s="34"/>
      <c r="S102" s="34"/>
      <c r="T102" s="37"/>
      <c r="U102" s="37"/>
      <c r="V102" s="38">
        <f>DATEDIF(Table1[[#This Row],[Sponsor*]],Table1[[#This Row],[Start Date*]],"d")</f>
        <v>0</v>
      </c>
      <c r="W102" s="62" t="e">
        <f>DATEDIF([1]!Table1[[#This Row],[Start Date*]],[1]!Table1[[#This Row],[End Date*]],"d")</f>
        <v>#VALUE!</v>
      </c>
      <c r="X102" s="39"/>
      <c r="Y102" s="34"/>
      <c r="Z102" s="34"/>
      <c r="AC102" s="34"/>
      <c r="AE102" s="34"/>
      <c r="AF102" s="40"/>
      <c r="AG102" s="34"/>
      <c r="AH102" s="34"/>
      <c r="AI102" s="34"/>
      <c r="AJ102" s="34"/>
      <c r="AK102" s="34">
        <f>SUBTOTAL(9,Table1[[#This Row],[Up Next Priority]:[Campus]])</f>
        <v>0</v>
      </c>
      <c r="AL102" s="52"/>
      <c r="AM102" s="42"/>
      <c r="AN102" s="43"/>
      <c r="AO102" s="44"/>
      <c r="AP102" s="44"/>
      <c r="AQ102" s="44"/>
      <c r="AR102" s="44"/>
      <c r="AS102" s="51"/>
      <c r="AT102" s="44"/>
      <c r="AU102" s="66">
        <f>SUM(Table1[[#This Row],[Org Impact Score]:[Tools]])</f>
        <v>0</v>
      </c>
      <c r="AV102" s="45"/>
      <c r="AW102" s="34"/>
      <c r="AX102" s="34"/>
      <c r="AY102" s="34"/>
    </row>
    <row r="103" spans="1:51">
      <c r="A103" s="31" t="s">
        <v>885</v>
      </c>
      <c r="B103" s="32" t="s">
        <v>195</v>
      </c>
      <c r="C103" s="32" t="b">
        <v>0</v>
      </c>
      <c r="D103" s="32" t="s">
        <v>884</v>
      </c>
      <c r="E103" s="32" t="s">
        <v>890</v>
      </c>
      <c r="F103" s="32" t="s">
        <v>903</v>
      </c>
      <c r="G103" s="32"/>
      <c r="H103" s="65" t="s">
        <v>886</v>
      </c>
      <c r="I103" s="33"/>
      <c r="J103" s="33"/>
      <c r="K103" s="33"/>
      <c r="L103" s="34"/>
      <c r="M103" s="6"/>
      <c r="N103" s="6"/>
      <c r="O103" s="6"/>
      <c r="P103" s="36"/>
      <c r="Q103" s="34"/>
      <c r="R103" s="34"/>
      <c r="S103" s="34"/>
      <c r="T103" s="37"/>
      <c r="U103" s="37"/>
      <c r="V103" s="38">
        <f>DATEDIF(Table1[[#This Row],[Sponsor*]],Table1[[#This Row],[Start Date*]],"d")</f>
        <v>0</v>
      </c>
      <c r="W103" s="62" t="e">
        <f>DATEDIF([1]!Table1[[#This Row],[Start Date*]],[1]!Table1[[#This Row],[End Date*]],"d")</f>
        <v>#VALUE!</v>
      </c>
      <c r="X103" s="39"/>
      <c r="Y103" s="34"/>
      <c r="Z103" s="34"/>
      <c r="AC103" s="34"/>
      <c r="AE103" s="34"/>
      <c r="AF103" s="40"/>
      <c r="AG103" s="34"/>
      <c r="AH103" s="34"/>
      <c r="AI103" s="34"/>
      <c r="AJ103" s="34"/>
      <c r="AK103" s="34">
        <f>SUBTOTAL(9,Table1[[#This Row],[Up Next Priority]:[Campus]])</f>
        <v>0</v>
      </c>
      <c r="AL103" s="52"/>
      <c r="AM103" s="42"/>
      <c r="AN103" s="43"/>
      <c r="AO103" s="44"/>
      <c r="AP103" s="44"/>
      <c r="AQ103" s="44"/>
      <c r="AR103" s="44"/>
      <c r="AS103" s="51"/>
      <c r="AT103" s="44"/>
      <c r="AU103" s="66">
        <f>SUM(Table1[[#This Row],[Org Impact Score]:[Tools]])</f>
        <v>0</v>
      </c>
      <c r="AV103" s="45"/>
      <c r="AW103" s="34"/>
      <c r="AX103" s="34"/>
      <c r="AY103" s="34"/>
    </row>
    <row r="104" spans="1:51">
      <c r="A104" s="31" t="s">
        <v>882</v>
      </c>
      <c r="B104" s="32" t="s">
        <v>195</v>
      </c>
      <c r="C104" s="32" t="b">
        <v>0</v>
      </c>
      <c r="D104" s="32" t="s">
        <v>881</v>
      </c>
      <c r="E104" s="32" t="s">
        <v>890</v>
      </c>
      <c r="F104" s="32" t="s">
        <v>903</v>
      </c>
      <c r="G104" s="32"/>
      <c r="H104" s="65" t="s">
        <v>883</v>
      </c>
      <c r="I104" s="33"/>
      <c r="J104" s="33"/>
      <c r="K104" s="33"/>
      <c r="L104" s="34"/>
      <c r="M104" s="6"/>
      <c r="N104" s="6"/>
      <c r="O104" s="6"/>
      <c r="P104" s="36"/>
      <c r="Q104" s="34"/>
      <c r="R104" s="34"/>
      <c r="S104" s="34"/>
      <c r="T104" s="37"/>
      <c r="U104" s="37"/>
      <c r="V104" s="38">
        <f>DATEDIF(Table1[[#This Row],[Sponsor*]],Table1[[#This Row],[Start Date*]],"d")</f>
        <v>0</v>
      </c>
      <c r="W104" s="62" t="e">
        <f>DATEDIF([1]!Table1[[#This Row],[Start Date*]],[1]!Table1[[#This Row],[End Date*]],"d")</f>
        <v>#VALUE!</v>
      </c>
      <c r="X104" s="39"/>
      <c r="Y104" s="34"/>
      <c r="Z104" s="34"/>
      <c r="AC104" s="34"/>
      <c r="AE104" s="34"/>
      <c r="AF104" s="40"/>
      <c r="AG104" s="34"/>
      <c r="AH104" s="34"/>
      <c r="AI104" s="34"/>
      <c r="AJ104" s="34"/>
      <c r="AK104" s="34">
        <f>SUBTOTAL(9,Table1[[#This Row],[Up Next Priority]:[Campus]])</f>
        <v>0</v>
      </c>
      <c r="AL104" s="52"/>
      <c r="AM104" s="42"/>
      <c r="AN104" s="43"/>
      <c r="AO104" s="44"/>
      <c r="AP104" s="44"/>
      <c r="AQ104" s="44"/>
      <c r="AR104" s="44"/>
      <c r="AS104" s="51"/>
      <c r="AT104" s="44"/>
      <c r="AU104" s="66">
        <f>SUM(Table1[[#This Row],[Org Impact Score]:[Tools]])</f>
        <v>0</v>
      </c>
      <c r="AV104" s="45"/>
      <c r="AW104" s="34"/>
      <c r="AX104" s="34"/>
      <c r="AY104" s="34"/>
    </row>
    <row r="105" spans="1:51">
      <c r="A105" s="31" t="s">
        <v>879</v>
      </c>
      <c r="B105" s="32" t="s">
        <v>195</v>
      </c>
      <c r="C105" s="32" t="b">
        <v>0</v>
      </c>
      <c r="D105" s="32" t="s">
        <v>878</v>
      </c>
      <c r="E105" s="32" t="s">
        <v>890</v>
      </c>
      <c r="F105" s="32" t="s">
        <v>903</v>
      </c>
      <c r="G105" s="32"/>
      <c r="H105" s="65" t="s">
        <v>880</v>
      </c>
      <c r="I105" s="33"/>
      <c r="J105" s="33"/>
      <c r="K105" s="33"/>
      <c r="L105" s="34"/>
      <c r="M105" s="6"/>
      <c r="N105" s="6"/>
      <c r="O105" s="6"/>
      <c r="P105" s="36"/>
      <c r="Q105" s="34"/>
      <c r="R105" s="34"/>
      <c r="S105" s="34"/>
      <c r="T105" s="37"/>
      <c r="U105" s="37"/>
      <c r="V105" s="38">
        <f>DATEDIF(Table1[[#This Row],[Sponsor*]],Table1[[#This Row],[Start Date*]],"d")</f>
        <v>0</v>
      </c>
      <c r="W105" s="62" t="e">
        <f>DATEDIF([1]!Table1[[#This Row],[Start Date*]],[1]!Table1[[#This Row],[End Date*]],"d")</f>
        <v>#VALUE!</v>
      </c>
      <c r="X105" s="39"/>
      <c r="Y105" s="34"/>
      <c r="Z105" s="34"/>
      <c r="AC105" s="34"/>
      <c r="AE105" s="34"/>
      <c r="AF105" s="40"/>
      <c r="AG105" s="34"/>
      <c r="AH105" s="34"/>
      <c r="AI105" s="34"/>
      <c r="AJ105" s="34"/>
      <c r="AK105" s="34">
        <f>SUBTOTAL(9,Table1[[#This Row],[Up Next Priority]:[Campus]])</f>
        <v>0</v>
      </c>
      <c r="AL105" s="52"/>
      <c r="AM105" s="42"/>
      <c r="AN105" s="43"/>
      <c r="AO105" s="44"/>
      <c r="AP105" s="44"/>
      <c r="AQ105" s="44"/>
      <c r="AR105" s="44"/>
      <c r="AS105" s="51"/>
      <c r="AT105" s="44"/>
      <c r="AU105" s="66">
        <f>SUM(Table1[[#This Row],[Org Impact Score]:[Tools]])</f>
        <v>0</v>
      </c>
      <c r="AV105" s="45"/>
      <c r="AW105" s="34"/>
      <c r="AX105" s="34"/>
      <c r="AY105" s="34"/>
    </row>
    <row r="106" spans="1:51">
      <c r="A106" s="31" t="s">
        <v>876</v>
      </c>
      <c r="B106" s="32" t="s">
        <v>195</v>
      </c>
      <c r="C106" s="32" t="b">
        <v>0</v>
      </c>
      <c r="D106" s="32" t="s">
        <v>875</v>
      </c>
      <c r="E106" s="32" t="s">
        <v>890</v>
      </c>
      <c r="F106" s="32" t="s">
        <v>902</v>
      </c>
      <c r="G106" s="32"/>
      <c r="H106" s="65" t="s">
        <v>877</v>
      </c>
      <c r="I106" s="33"/>
      <c r="J106" s="33"/>
      <c r="K106" s="33"/>
      <c r="L106" s="34"/>
      <c r="M106" s="6"/>
      <c r="N106" s="6"/>
      <c r="O106" s="6"/>
      <c r="P106" s="36"/>
      <c r="Q106" s="34"/>
      <c r="R106" s="34"/>
      <c r="S106" s="34"/>
      <c r="T106" s="37"/>
      <c r="U106" s="37"/>
      <c r="V106" s="38">
        <f>DATEDIF(Table1[[#This Row],[Sponsor*]],Table1[[#This Row],[Start Date*]],"d")</f>
        <v>0</v>
      </c>
      <c r="W106" s="62" t="e">
        <f>DATEDIF([1]!Table1[[#This Row],[Start Date*]],[1]!Table1[[#This Row],[End Date*]],"d")</f>
        <v>#VALUE!</v>
      </c>
      <c r="X106" s="39"/>
      <c r="Y106" s="34"/>
      <c r="Z106" s="34"/>
      <c r="AC106" s="34"/>
      <c r="AE106" s="34"/>
      <c r="AF106" s="40"/>
      <c r="AG106" s="34"/>
      <c r="AH106" s="34"/>
      <c r="AI106" s="34"/>
      <c r="AJ106" s="34"/>
      <c r="AK106" s="34">
        <f>SUBTOTAL(9,Table1[[#This Row],[Up Next Priority]:[Campus]])</f>
        <v>0</v>
      </c>
      <c r="AL106" s="52"/>
      <c r="AM106" s="42"/>
      <c r="AN106" s="43"/>
      <c r="AO106" s="44"/>
      <c r="AP106" s="44"/>
      <c r="AQ106" s="44"/>
      <c r="AR106" s="44"/>
      <c r="AS106" s="51"/>
      <c r="AT106" s="44"/>
      <c r="AU106" s="66">
        <f>SUM(Table1[[#This Row],[Org Impact Score]:[Tools]])</f>
        <v>0</v>
      </c>
      <c r="AV106" s="45"/>
      <c r="AW106" s="34"/>
      <c r="AX106" s="34"/>
      <c r="AY106" s="34"/>
    </row>
    <row r="107" spans="1:51">
      <c r="A107" s="31" t="s">
        <v>873</v>
      </c>
      <c r="B107" s="32" t="s">
        <v>195</v>
      </c>
      <c r="C107" s="32" t="b">
        <v>0</v>
      </c>
      <c r="D107" s="32" t="s">
        <v>872</v>
      </c>
      <c r="E107" s="32" t="s">
        <v>890</v>
      </c>
      <c r="F107" s="32" t="s">
        <v>902</v>
      </c>
      <c r="G107" s="32"/>
      <c r="H107" s="65" t="s">
        <v>874</v>
      </c>
      <c r="I107" s="33"/>
      <c r="J107" s="33"/>
      <c r="K107" s="33"/>
      <c r="L107" s="34"/>
      <c r="M107" s="6"/>
      <c r="N107" s="6"/>
      <c r="O107" s="6"/>
      <c r="P107" s="36"/>
      <c r="Q107" s="34"/>
      <c r="R107" s="34"/>
      <c r="S107" s="34"/>
      <c r="T107" s="37"/>
      <c r="U107" s="37"/>
      <c r="V107" s="38">
        <f>DATEDIF(Table1[[#This Row],[Sponsor*]],Table1[[#This Row],[Start Date*]],"d")</f>
        <v>0</v>
      </c>
      <c r="W107" s="62" t="e">
        <f>DATEDIF([1]!Table1[[#This Row],[Start Date*]],[1]!Table1[[#This Row],[End Date*]],"d")</f>
        <v>#VALUE!</v>
      </c>
      <c r="X107" s="39"/>
      <c r="Y107" s="34"/>
      <c r="Z107" s="34"/>
      <c r="AC107" s="34"/>
      <c r="AE107" s="34"/>
      <c r="AF107" s="40"/>
      <c r="AG107" s="34"/>
      <c r="AH107" s="34"/>
      <c r="AI107" s="34"/>
      <c r="AJ107" s="34"/>
      <c r="AK107" s="34">
        <f>SUBTOTAL(9,Table1[[#This Row],[Up Next Priority]:[Campus]])</f>
        <v>0</v>
      </c>
      <c r="AL107" s="52"/>
      <c r="AM107" s="42"/>
      <c r="AN107" s="43"/>
      <c r="AO107" s="44"/>
      <c r="AP107" s="44"/>
      <c r="AQ107" s="44"/>
      <c r="AR107" s="44"/>
      <c r="AS107" s="51"/>
      <c r="AT107" s="44"/>
      <c r="AU107" s="66">
        <f>SUM(Table1[[#This Row],[Org Impact Score]:[Tools]])</f>
        <v>0</v>
      </c>
      <c r="AV107" s="45"/>
      <c r="AW107" s="34"/>
      <c r="AX107" s="34"/>
      <c r="AY107" s="34"/>
    </row>
    <row r="108" spans="1:51">
      <c r="A108" s="31" t="s">
        <v>870</v>
      </c>
      <c r="B108" s="32" t="s">
        <v>195</v>
      </c>
      <c r="C108" s="32" t="b">
        <v>0</v>
      </c>
      <c r="D108" s="32" t="s">
        <v>869</v>
      </c>
      <c r="E108" s="32" t="s">
        <v>890</v>
      </c>
      <c r="F108" s="32" t="s">
        <v>902</v>
      </c>
      <c r="G108" s="32"/>
      <c r="H108" s="65" t="s">
        <v>871</v>
      </c>
      <c r="I108" s="33"/>
      <c r="J108" s="33"/>
      <c r="K108" s="33"/>
      <c r="L108" s="34"/>
      <c r="M108" s="6"/>
      <c r="N108" s="6"/>
      <c r="O108" s="6"/>
      <c r="P108" s="36"/>
      <c r="Q108" s="34"/>
      <c r="R108" s="34"/>
      <c r="S108" s="34"/>
      <c r="T108" s="37"/>
      <c r="U108" s="37"/>
      <c r="V108" s="38">
        <f>DATEDIF(Table1[[#This Row],[Sponsor*]],Table1[[#This Row],[Start Date*]],"d")</f>
        <v>0</v>
      </c>
      <c r="W108" s="62" t="e">
        <f>DATEDIF([1]!Table1[[#This Row],[Start Date*]],[1]!Table1[[#This Row],[End Date*]],"d")</f>
        <v>#VALUE!</v>
      </c>
      <c r="X108" s="39"/>
      <c r="Y108" s="34"/>
      <c r="Z108" s="34"/>
      <c r="AC108" s="34"/>
      <c r="AE108" s="34"/>
      <c r="AF108" s="40"/>
      <c r="AG108" s="34"/>
      <c r="AH108" s="34"/>
      <c r="AI108" s="34"/>
      <c r="AJ108" s="34"/>
      <c r="AK108" s="34">
        <f>SUBTOTAL(9,Table1[[#This Row],[Up Next Priority]:[Campus]])</f>
        <v>0</v>
      </c>
      <c r="AL108" s="52"/>
      <c r="AM108" s="42"/>
      <c r="AN108" s="43"/>
      <c r="AO108" s="44"/>
      <c r="AP108" s="44"/>
      <c r="AQ108" s="44"/>
      <c r="AR108" s="44"/>
      <c r="AS108" s="51"/>
      <c r="AT108" s="44"/>
      <c r="AU108" s="66">
        <f>SUM(Table1[[#This Row],[Org Impact Score]:[Tools]])</f>
        <v>0</v>
      </c>
      <c r="AV108" s="45"/>
      <c r="AW108" s="34"/>
      <c r="AX108" s="34"/>
      <c r="AY108" s="34"/>
    </row>
    <row r="109" spans="1:51">
      <c r="A109" s="31" t="s">
        <v>867</v>
      </c>
      <c r="B109" s="32" t="s">
        <v>195</v>
      </c>
      <c r="C109" s="32" t="b">
        <v>0</v>
      </c>
      <c r="D109" s="32" t="s">
        <v>866</v>
      </c>
      <c r="E109" s="32" t="s">
        <v>890</v>
      </c>
      <c r="F109" s="32" t="s">
        <v>902</v>
      </c>
      <c r="G109" s="32"/>
      <c r="H109" s="65" t="s">
        <v>868</v>
      </c>
      <c r="I109" s="33"/>
      <c r="J109" s="33"/>
      <c r="K109" s="33"/>
      <c r="L109" s="34"/>
      <c r="M109" s="6"/>
      <c r="N109" s="6"/>
      <c r="O109" s="6"/>
      <c r="P109" s="36"/>
      <c r="Q109" s="34"/>
      <c r="R109" s="34"/>
      <c r="S109" s="34"/>
      <c r="T109" s="37"/>
      <c r="U109" s="37"/>
      <c r="V109" s="38">
        <f>DATEDIF(Table1[[#This Row],[Sponsor*]],Table1[[#This Row],[Start Date*]],"d")</f>
        <v>0</v>
      </c>
      <c r="W109" s="62" t="e">
        <f>DATEDIF([1]!Table1[[#This Row],[Start Date*]],[1]!Table1[[#This Row],[End Date*]],"d")</f>
        <v>#VALUE!</v>
      </c>
      <c r="X109" s="39"/>
      <c r="Y109" s="34"/>
      <c r="Z109" s="34"/>
      <c r="AC109" s="34"/>
      <c r="AE109" s="34"/>
      <c r="AF109" s="40"/>
      <c r="AG109" s="34"/>
      <c r="AH109" s="34"/>
      <c r="AI109" s="34"/>
      <c r="AJ109" s="34"/>
      <c r="AK109" s="34">
        <f>SUBTOTAL(9,Table1[[#This Row],[Up Next Priority]:[Campus]])</f>
        <v>0</v>
      </c>
      <c r="AL109" s="52"/>
      <c r="AM109" s="42"/>
      <c r="AN109" s="43"/>
      <c r="AO109" s="44"/>
      <c r="AP109" s="44"/>
      <c r="AQ109" s="44"/>
      <c r="AR109" s="44"/>
      <c r="AS109" s="51"/>
      <c r="AT109" s="44"/>
      <c r="AU109" s="66">
        <f>SUM(Table1[[#This Row],[Org Impact Score]:[Tools]])</f>
        <v>0</v>
      </c>
      <c r="AV109" s="45"/>
      <c r="AW109" s="34"/>
      <c r="AX109" s="34"/>
      <c r="AY109" s="34"/>
    </row>
    <row r="110" spans="1:51">
      <c r="A110" s="31" t="s">
        <v>864</v>
      </c>
      <c r="B110" s="32" t="s">
        <v>195</v>
      </c>
      <c r="C110" s="32" t="b">
        <v>0</v>
      </c>
      <c r="D110" s="32" t="s">
        <v>863</v>
      </c>
      <c r="E110" s="32" t="s">
        <v>890</v>
      </c>
      <c r="F110" s="32" t="s">
        <v>902</v>
      </c>
      <c r="G110" s="32"/>
      <c r="H110" s="65" t="s">
        <v>865</v>
      </c>
      <c r="I110" s="33"/>
      <c r="J110" s="33"/>
      <c r="K110" s="33"/>
      <c r="L110" s="34"/>
      <c r="M110" s="6"/>
      <c r="N110" s="6"/>
      <c r="O110" s="6"/>
      <c r="P110" s="36"/>
      <c r="Q110" s="34"/>
      <c r="R110" s="34"/>
      <c r="S110" s="34"/>
      <c r="T110" s="37"/>
      <c r="U110" s="37"/>
      <c r="V110" s="38">
        <f>DATEDIF(Table1[[#This Row],[Sponsor*]],Table1[[#This Row],[Start Date*]],"d")</f>
        <v>0</v>
      </c>
      <c r="W110" s="62" t="e">
        <f>DATEDIF([1]!Table1[[#This Row],[Start Date*]],[1]!Table1[[#This Row],[End Date*]],"d")</f>
        <v>#VALUE!</v>
      </c>
      <c r="X110" s="39"/>
      <c r="Y110" s="34"/>
      <c r="Z110" s="34"/>
      <c r="AC110" s="34"/>
      <c r="AE110" s="34"/>
      <c r="AF110" s="40"/>
      <c r="AG110" s="34"/>
      <c r="AH110" s="34"/>
      <c r="AI110" s="34"/>
      <c r="AJ110" s="34"/>
      <c r="AK110" s="34">
        <f>SUBTOTAL(9,Table1[[#This Row],[Up Next Priority]:[Campus]])</f>
        <v>0</v>
      </c>
      <c r="AL110" s="52"/>
      <c r="AM110" s="42"/>
      <c r="AN110" s="43"/>
      <c r="AO110" s="44"/>
      <c r="AP110" s="44"/>
      <c r="AQ110" s="44"/>
      <c r="AR110" s="44"/>
      <c r="AS110" s="51"/>
      <c r="AT110" s="44"/>
      <c r="AU110" s="66">
        <f>SUM(Table1[[#This Row],[Org Impact Score]:[Tools]])</f>
        <v>0</v>
      </c>
      <c r="AV110" s="45"/>
      <c r="AW110" s="34"/>
      <c r="AX110" s="34"/>
      <c r="AY110" s="34"/>
    </row>
    <row r="111" spans="1:51">
      <c r="A111" s="31" t="s">
        <v>861</v>
      </c>
      <c r="B111" s="32" t="s">
        <v>195</v>
      </c>
      <c r="C111" s="32" t="b">
        <v>0</v>
      </c>
      <c r="D111" s="32" t="s">
        <v>860</v>
      </c>
      <c r="E111" s="32" t="s">
        <v>890</v>
      </c>
      <c r="F111" s="32" t="s">
        <v>902</v>
      </c>
      <c r="G111" s="32"/>
      <c r="H111" s="65" t="s">
        <v>862</v>
      </c>
      <c r="I111" s="33"/>
      <c r="J111" s="33"/>
      <c r="K111" s="33"/>
      <c r="L111" s="34"/>
      <c r="M111" s="6"/>
      <c r="N111" s="6"/>
      <c r="O111" s="6"/>
      <c r="P111" s="36"/>
      <c r="Q111" s="34"/>
      <c r="R111" s="34"/>
      <c r="S111" s="34"/>
      <c r="T111" s="37"/>
      <c r="U111" s="37"/>
      <c r="V111" s="38">
        <f>DATEDIF(Table1[[#This Row],[Sponsor*]],Table1[[#This Row],[Start Date*]],"d")</f>
        <v>0</v>
      </c>
      <c r="W111" s="62" t="e">
        <f>DATEDIF([1]!Table1[[#This Row],[Start Date*]],[1]!Table1[[#This Row],[End Date*]],"d")</f>
        <v>#VALUE!</v>
      </c>
      <c r="X111" s="39"/>
      <c r="Y111" s="34"/>
      <c r="Z111" s="34"/>
      <c r="AC111" s="34"/>
      <c r="AE111" s="34"/>
      <c r="AF111" s="40"/>
      <c r="AG111" s="34"/>
      <c r="AH111" s="34"/>
      <c r="AI111" s="34"/>
      <c r="AJ111" s="34"/>
      <c r="AK111" s="34">
        <f>SUBTOTAL(9,Table1[[#This Row],[Up Next Priority]:[Campus]])</f>
        <v>0</v>
      </c>
      <c r="AL111" s="52"/>
      <c r="AM111" s="42"/>
      <c r="AN111" s="43"/>
      <c r="AO111" s="44"/>
      <c r="AP111" s="44"/>
      <c r="AQ111" s="44"/>
      <c r="AR111" s="44"/>
      <c r="AS111" s="51"/>
      <c r="AT111" s="44"/>
      <c r="AU111" s="66">
        <f>SUM(Table1[[#This Row],[Org Impact Score]:[Tools]])</f>
        <v>0</v>
      </c>
      <c r="AV111" s="45"/>
      <c r="AW111" s="34"/>
      <c r="AX111" s="34"/>
      <c r="AY111" s="34"/>
    </row>
    <row r="112" spans="1:51">
      <c r="A112" s="31" t="s">
        <v>858</v>
      </c>
      <c r="B112" s="32" t="s">
        <v>195</v>
      </c>
      <c r="C112" s="32" t="b">
        <v>0</v>
      </c>
      <c r="D112" s="32" t="s">
        <v>857</v>
      </c>
      <c r="E112" s="32" t="s">
        <v>890</v>
      </c>
      <c r="F112" s="32" t="s">
        <v>901</v>
      </c>
      <c r="G112" s="32"/>
      <c r="H112" s="65" t="s">
        <v>859</v>
      </c>
      <c r="I112" s="33"/>
      <c r="J112" s="33"/>
      <c r="K112" s="33"/>
      <c r="L112" s="34"/>
      <c r="M112" s="6"/>
      <c r="N112" s="6"/>
      <c r="O112" s="6"/>
      <c r="P112" s="36"/>
      <c r="Q112" s="34"/>
      <c r="R112" s="34"/>
      <c r="S112" s="34"/>
      <c r="T112" s="37"/>
      <c r="U112" s="37"/>
      <c r="V112" s="38">
        <f>DATEDIF(Table1[[#This Row],[Sponsor*]],Table1[[#This Row],[Start Date*]],"d")</f>
        <v>0</v>
      </c>
      <c r="W112" s="62" t="e">
        <f>DATEDIF([1]!Table1[[#This Row],[Start Date*]],[1]!Table1[[#This Row],[End Date*]],"d")</f>
        <v>#VALUE!</v>
      </c>
      <c r="X112" s="39"/>
      <c r="Y112" s="34"/>
      <c r="Z112" s="34"/>
      <c r="AC112" s="34"/>
      <c r="AE112" s="34"/>
      <c r="AF112" s="40"/>
      <c r="AG112" s="34"/>
      <c r="AH112" s="34"/>
      <c r="AI112" s="34"/>
      <c r="AJ112" s="34"/>
      <c r="AK112" s="34">
        <f>SUBTOTAL(9,Table1[[#This Row],[Up Next Priority]:[Campus]])</f>
        <v>0</v>
      </c>
      <c r="AL112" s="52"/>
      <c r="AM112" s="42"/>
      <c r="AN112" s="43"/>
      <c r="AO112" s="44"/>
      <c r="AP112" s="44"/>
      <c r="AQ112" s="44"/>
      <c r="AR112" s="44"/>
      <c r="AS112" s="51"/>
      <c r="AT112" s="44"/>
      <c r="AU112" s="66">
        <f>SUM(Table1[[#This Row],[Org Impact Score]:[Tools]])</f>
        <v>0</v>
      </c>
      <c r="AV112" s="45"/>
      <c r="AW112" s="34"/>
      <c r="AX112" s="34"/>
      <c r="AY112" s="34"/>
    </row>
    <row r="113" spans="1:51">
      <c r="A113" s="31" t="s">
        <v>855</v>
      </c>
      <c r="B113" s="32" t="s">
        <v>195</v>
      </c>
      <c r="C113" s="32" t="b">
        <v>0</v>
      </c>
      <c r="D113" s="32" t="s">
        <v>854</v>
      </c>
      <c r="E113" s="32" t="s">
        <v>890</v>
      </c>
      <c r="F113" s="32" t="s">
        <v>901</v>
      </c>
      <c r="G113" s="32"/>
      <c r="H113" s="65" t="s">
        <v>856</v>
      </c>
      <c r="I113" s="33"/>
      <c r="J113" s="33"/>
      <c r="K113" s="33"/>
      <c r="L113" s="34"/>
      <c r="M113" s="6"/>
      <c r="N113" s="6"/>
      <c r="O113" s="6"/>
      <c r="P113" s="36"/>
      <c r="Q113" s="34"/>
      <c r="R113" s="34"/>
      <c r="S113" s="34"/>
      <c r="T113" s="37"/>
      <c r="U113" s="37"/>
      <c r="V113" s="38">
        <f>DATEDIF(Table1[[#This Row],[Sponsor*]],Table1[[#This Row],[Start Date*]],"d")</f>
        <v>0</v>
      </c>
      <c r="W113" s="62" t="e">
        <f>DATEDIF([1]!Table1[[#This Row],[Start Date*]],[1]!Table1[[#This Row],[End Date*]],"d")</f>
        <v>#VALUE!</v>
      </c>
      <c r="X113" s="39"/>
      <c r="Y113" s="34"/>
      <c r="Z113" s="34"/>
      <c r="AC113" s="34"/>
      <c r="AE113" s="34"/>
      <c r="AF113" s="40"/>
      <c r="AG113" s="34"/>
      <c r="AH113" s="34"/>
      <c r="AI113" s="34"/>
      <c r="AJ113" s="34"/>
      <c r="AK113" s="34">
        <f>SUBTOTAL(9,Table1[[#This Row],[Up Next Priority]:[Campus]])</f>
        <v>0</v>
      </c>
      <c r="AL113" s="52"/>
      <c r="AM113" s="42"/>
      <c r="AN113" s="43"/>
      <c r="AO113" s="44"/>
      <c r="AP113" s="44"/>
      <c r="AQ113" s="44"/>
      <c r="AR113" s="44"/>
      <c r="AS113" s="51"/>
      <c r="AT113" s="44"/>
      <c r="AU113" s="66">
        <f>SUM(Table1[[#This Row],[Org Impact Score]:[Tools]])</f>
        <v>0</v>
      </c>
      <c r="AV113" s="45"/>
      <c r="AW113" s="34"/>
      <c r="AX113" s="34"/>
      <c r="AY113" s="34"/>
    </row>
    <row r="114" spans="1:51">
      <c r="A114" s="31" t="s">
        <v>852</v>
      </c>
      <c r="B114" s="32" t="s">
        <v>195</v>
      </c>
      <c r="C114" s="32" t="b">
        <v>0</v>
      </c>
      <c r="D114" s="32" t="s">
        <v>851</v>
      </c>
      <c r="E114" s="32" t="s">
        <v>890</v>
      </c>
      <c r="F114" s="32" t="s">
        <v>901</v>
      </c>
      <c r="G114" s="32"/>
      <c r="H114" s="65" t="s">
        <v>853</v>
      </c>
      <c r="I114" s="33"/>
      <c r="J114" s="33"/>
      <c r="K114" s="33"/>
      <c r="L114" s="34"/>
      <c r="M114" s="6"/>
      <c r="N114" s="6"/>
      <c r="O114" s="6"/>
      <c r="P114" s="36"/>
      <c r="Q114" s="34"/>
      <c r="R114" s="34"/>
      <c r="S114" s="34"/>
      <c r="T114" s="37"/>
      <c r="U114" s="37"/>
      <c r="V114" s="38">
        <f>DATEDIF(Table1[[#This Row],[Sponsor*]],Table1[[#This Row],[Start Date*]],"d")</f>
        <v>0</v>
      </c>
      <c r="W114" s="62" t="e">
        <f>DATEDIF([1]!Table1[[#This Row],[Start Date*]],[1]!Table1[[#This Row],[End Date*]],"d")</f>
        <v>#VALUE!</v>
      </c>
      <c r="X114" s="39"/>
      <c r="Y114" s="34"/>
      <c r="Z114" s="34"/>
      <c r="AC114" s="34"/>
      <c r="AE114" s="34"/>
      <c r="AF114" s="40"/>
      <c r="AG114" s="34"/>
      <c r="AH114" s="34"/>
      <c r="AI114" s="34"/>
      <c r="AJ114" s="34"/>
      <c r="AK114" s="34">
        <f>SUBTOTAL(9,Table1[[#This Row],[Up Next Priority]:[Campus]])</f>
        <v>0</v>
      </c>
      <c r="AL114" s="52"/>
      <c r="AM114" s="42"/>
      <c r="AN114" s="43"/>
      <c r="AO114" s="44"/>
      <c r="AP114" s="44"/>
      <c r="AQ114" s="44"/>
      <c r="AR114" s="44"/>
      <c r="AS114" s="51"/>
      <c r="AT114" s="44"/>
      <c r="AU114" s="66">
        <f>SUM(Table1[[#This Row],[Org Impact Score]:[Tools]])</f>
        <v>0</v>
      </c>
      <c r="AV114" s="45"/>
      <c r="AW114" s="34"/>
      <c r="AX114" s="34"/>
      <c r="AY114" s="34"/>
    </row>
    <row r="115" spans="1:51">
      <c r="A115" s="31" t="s">
        <v>849</v>
      </c>
      <c r="B115" s="32" t="s">
        <v>195</v>
      </c>
      <c r="C115" s="32" t="b">
        <v>0</v>
      </c>
      <c r="D115" s="32" t="s">
        <v>848</v>
      </c>
      <c r="E115" s="32" t="s">
        <v>890</v>
      </c>
      <c r="F115" s="32" t="s">
        <v>901</v>
      </c>
      <c r="G115" s="32"/>
      <c r="H115" s="65" t="s">
        <v>850</v>
      </c>
      <c r="I115" s="33"/>
      <c r="J115" s="33"/>
      <c r="K115" s="33"/>
      <c r="L115" s="34"/>
      <c r="M115" s="6"/>
      <c r="N115" s="6"/>
      <c r="O115" s="6"/>
      <c r="P115" s="36"/>
      <c r="Q115" s="34"/>
      <c r="R115" s="34"/>
      <c r="S115" s="34"/>
      <c r="T115" s="37"/>
      <c r="U115" s="37"/>
      <c r="V115" s="38">
        <f>DATEDIF(Table1[[#This Row],[Sponsor*]],Table1[[#This Row],[Start Date*]],"d")</f>
        <v>0</v>
      </c>
      <c r="W115" s="62" t="e">
        <f>DATEDIF([1]!Table1[[#This Row],[Start Date*]],[1]!Table1[[#This Row],[End Date*]],"d")</f>
        <v>#VALUE!</v>
      </c>
      <c r="X115" s="39"/>
      <c r="Y115" s="34"/>
      <c r="Z115" s="34"/>
      <c r="AC115" s="34"/>
      <c r="AE115" s="34"/>
      <c r="AF115" s="40"/>
      <c r="AG115" s="34"/>
      <c r="AH115" s="34"/>
      <c r="AI115" s="34"/>
      <c r="AJ115" s="34"/>
      <c r="AK115" s="34">
        <f>SUBTOTAL(9,Table1[[#This Row],[Up Next Priority]:[Campus]])</f>
        <v>0</v>
      </c>
      <c r="AL115" s="52"/>
      <c r="AM115" s="42"/>
      <c r="AN115" s="43"/>
      <c r="AO115" s="44"/>
      <c r="AP115" s="44"/>
      <c r="AQ115" s="44"/>
      <c r="AR115" s="44"/>
      <c r="AS115" s="51"/>
      <c r="AT115" s="44"/>
      <c r="AU115" s="66">
        <f>SUM(Table1[[#This Row],[Org Impact Score]:[Tools]])</f>
        <v>0</v>
      </c>
      <c r="AV115" s="45"/>
      <c r="AW115" s="34"/>
      <c r="AX115" s="34"/>
      <c r="AY115" s="34"/>
    </row>
    <row r="116" spans="1:51">
      <c r="A116" s="31" t="s">
        <v>846</v>
      </c>
      <c r="B116" s="32" t="s">
        <v>195</v>
      </c>
      <c r="C116" s="32" t="b">
        <v>0</v>
      </c>
      <c r="D116" s="32" t="s">
        <v>845</v>
      </c>
      <c r="E116" s="32" t="s">
        <v>890</v>
      </c>
      <c r="F116" s="32" t="s">
        <v>901</v>
      </c>
      <c r="G116" s="32"/>
      <c r="H116" s="65" t="s">
        <v>847</v>
      </c>
      <c r="I116" s="33"/>
      <c r="J116" s="33"/>
      <c r="K116" s="33"/>
      <c r="L116" s="34"/>
      <c r="M116" s="6"/>
      <c r="N116" s="6"/>
      <c r="O116" s="6"/>
      <c r="P116" s="36"/>
      <c r="Q116" s="34"/>
      <c r="R116" s="34"/>
      <c r="S116" s="34"/>
      <c r="T116" s="37"/>
      <c r="U116" s="37"/>
      <c r="V116" s="38">
        <f>DATEDIF(Table1[[#This Row],[Sponsor*]],Table1[[#This Row],[Start Date*]],"d")</f>
        <v>0</v>
      </c>
      <c r="W116" s="62" t="e">
        <f>DATEDIF([1]!Table1[[#This Row],[Start Date*]],[1]!Table1[[#This Row],[End Date*]],"d")</f>
        <v>#VALUE!</v>
      </c>
      <c r="X116" s="39"/>
      <c r="Y116" s="34"/>
      <c r="Z116" s="34"/>
      <c r="AC116" s="34"/>
      <c r="AE116" s="34"/>
      <c r="AF116" s="40"/>
      <c r="AG116" s="34"/>
      <c r="AH116" s="34"/>
      <c r="AI116" s="34"/>
      <c r="AJ116" s="34"/>
      <c r="AK116" s="34">
        <f>SUBTOTAL(9,Table1[[#This Row],[Up Next Priority]:[Campus]])</f>
        <v>0</v>
      </c>
      <c r="AL116" s="52"/>
      <c r="AM116" s="42"/>
      <c r="AN116" s="43"/>
      <c r="AO116" s="44"/>
      <c r="AP116" s="44"/>
      <c r="AQ116" s="44"/>
      <c r="AR116" s="44"/>
      <c r="AS116" s="51"/>
      <c r="AT116" s="44"/>
      <c r="AU116" s="66">
        <f>SUM(Table1[[#This Row],[Org Impact Score]:[Tools]])</f>
        <v>0</v>
      </c>
      <c r="AV116" s="45"/>
      <c r="AW116" s="34"/>
      <c r="AX116" s="34"/>
      <c r="AY116" s="34"/>
    </row>
    <row r="117" spans="1:51">
      <c r="A117" s="31" t="s">
        <v>843</v>
      </c>
      <c r="B117" s="32" t="s">
        <v>195</v>
      </c>
      <c r="C117" s="32" t="b">
        <v>0</v>
      </c>
      <c r="D117" s="32" t="s">
        <v>842</v>
      </c>
      <c r="E117" s="32" t="s">
        <v>890</v>
      </c>
      <c r="F117" s="32" t="s">
        <v>901</v>
      </c>
      <c r="G117" s="32"/>
      <c r="H117" s="65" t="s">
        <v>844</v>
      </c>
      <c r="I117" s="33"/>
      <c r="J117" s="33"/>
      <c r="K117" s="33"/>
      <c r="L117" s="34"/>
      <c r="M117" s="6"/>
      <c r="N117" s="6"/>
      <c r="O117" s="6"/>
      <c r="P117" s="36"/>
      <c r="Q117" s="34"/>
      <c r="R117" s="34"/>
      <c r="S117" s="34"/>
      <c r="T117" s="37"/>
      <c r="U117" s="37"/>
      <c r="V117" s="38">
        <f>DATEDIF(Table1[[#This Row],[Sponsor*]],Table1[[#This Row],[Start Date*]],"d")</f>
        <v>0</v>
      </c>
      <c r="W117" s="62" t="e">
        <f>DATEDIF([1]!Table1[[#This Row],[Start Date*]],[1]!Table1[[#This Row],[End Date*]],"d")</f>
        <v>#VALUE!</v>
      </c>
      <c r="X117" s="39"/>
      <c r="Y117" s="34"/>
      <c r="Z117" s="34"/>
      <c r="AC117" s="34"/>
      <c r="AE117" s="34"/>
      <c r="AF117" s="40"/>
      <c r="AG117" s="34"/>
      <c r="AH117" s="34"/>
      <c r="AI117" s="34"/>
      <c r="AJ117" s="34"/>
      <c r="AK117" s="34">
        <f>SUBTOTAL(9,Table1[[#This Row],[Up Next Priority]:[Campus]])</f>
        <v>0</v>
      </c>
      <c r="AL117" s="52"/>
      <c r="AM117" s="42"/>
      <c r="AN117" s="43"/>
      <c r="AO117" s="44"/>
      <c r="AP117" s="44"/>
      <c r="AQ117" s="44"/>
      <c r="AR117" s="44"/>
      <c r="AS117" s="51"/>
      <c r="AT117" s="44"/>
      <c r="AU117" s="66">
        <f>SUM(Table1[[#This Row],[Org Impact Score]:[Tools]])</f>
        <v>0</v>
      </c>
      <c r="AV117" s="45"/>
      <c r="AW117" s="34"/>
      <c r="AX117" s="34"/>
      <c r="AY117" s="34"/>
    </row>
    <row r="118" spans="1:51">
      <c r="A118" s="31" t="s">
        <v>840</v>
      </c>
      <c r="B118" s="32" t="s">
        <v>195</v>
      </c>
      <c r="C118" s="32" t="b">
        <v>0</v>
      </c>
      <c r="D118" s="32" t="s">
        <v>839</v>
      </c>
      <c r="E118" s="32" t="s">
        <v>890</v>
      </c>
      <c r="F118" s="32" t="s">
        <v>901</v>
      </c>
      <c r="G118" s="32"/>
      <c r="H118" s="65" t="s">
        <v>841</v>
      </c>
      <c r="I118" s="33"/>
      <c r="J118" s="33"/>
      <c r="K118" s="33"/>
      <c r="L118" s="34"/>
      <c r="M118" s="6"/>
      <c r="N118" s="6"/>
      <c r="O118" s="6"/>
      <c r="P118" s="36"/>
      <c r="Q118" s="34"/>
      <c r="R118" s="34"/>
      <c r="S118" s="34"/>
      <c r="T118" s="37"/>
      <c r="U118" s="37"/>
      <c r="V118" s="38">
        <f>DATEDIF(Table1[[#This Row],[Sponsor*]],Table1[[#This Row],[Start Date*]],"d")</f>
        <v>0</v>
      </c>
      <c r="W118" s="62" t="e">
        <f>DATEDIF([1]!Table1[[#This Row],[Start Date*]],[1]!Table1[[#This Row],[End Date*]],"d")</f>
        <v>#VALUE!</v>
      </c>
      <c r="X118" s="39"/>
      <c r="Y118" s="34"/>
      <c r="Z118" s="34"/>
      <c r="AC118" s="34"/>
      <c r="AE118" s="34"/>
      <c r="AF118" s="40"/>
      <c r="AG118" s="34"/>
      <c r="AH118" s="34"/>
      <c r="AI118" s="34"/>
      <c r="AJ118" s="34"/>
      <c r="AK118" s="34">
        <f>SUBTOTAL(9,Table1[[#This Row],[Up Next Priority]:[Campus]])</f>
        <v>0</v>
      </c>
      <c r="AL118" s="52"/>
      <c r="AM118" s="42"/>
      <c r="AN118" s="43"/>
      <c r="AO118" s="44"/>
      <c r="AP118" s="44"/>
      <c r="AQ118" s="44"/>
      <c r="AR118" s="44"/>
      <c r="AS118" s="51"/>
      <c r="AT118" s="44"/>
      <c r="AU118" s="66">
        <f>SUM(Table1[[#This Row],[Org Impact Score]:[Tools]])</f>
        <v>0</v>
      </c>
      <c r="AV118" s="45"/>
      <c r="AW118" s="34"/>
      <c r="AX118" s="34"/>
      <c r="AY118" s="34"/>
    </row>
    <row r="119" spans="1:51">
      <c r="A119" s="31" t="s">
        <v>837</v>
      </c>
      <c r="B119" s="32" t="s">
        <v>195</v>
      </c>
      <c r="C119" s="32" t="b">
        <v>0</v>
      </c>
      <c r="D119" s="32" t="s">
        <v>836</v>
      </c>
      <c r="E119" s="32" t="s">
        <v>890</v>
      </c>
      <c r="F119" s="32" t="s">
        <v>901</v>
      </c>
      <c r="G119" s="32"/>
      <c r="H119" s="65" t="s">
        <v>838</v>
      </c>
      <c r="I119" s="33"/>
      <c r="J119" s="33"/>
      <c r="K119" s="33"/>
      <c r="L119" s="34"/>
      <c r="M119" s="6"/>
      <c r="N119" s="6"/>
      <c r="O119" s="6"/>
      <c r="P119" s="36"/>
      <c r="Q119" s="34"/>
      <c r="R119" s="34"/>
      <c r="S119" s="34"/>
      <c r="T119" s="37"/>
      <c r="U119" s="37"/>
      <c r="V119" s="38">
        <f>DATEDIF(Table1[[#This Row],[Sponsor*]],Table1[[#This Row],[Start Date*]],"d")</f>
        <v>0</v>
      </c>
      <c r="W119" s="62" t="e">
        <f>DATEDIF([1]!Table1[[#This Row],[Start Date*]],[1]!Table1[[#This Row],[End Date*]],"d")</f>
        <v>#VALUE!</v>
      </c>
      <c r="X119" s="39"/>
      <c r="Y119" s="34"/>
      <c r="Z119" s="34"/>
      <c r="AC119" s="34"/>
      <c r="AE119" s="34"/>
      <c r="AF119" s="40"/>
      <c r="AG119" s="34"/>
      <c r="AH119" s="34"/>
      <c r="AI119" s="34"/>
      <c r="AJ119" s="34"/>
      <c r="AK119" s="34">
        <f>SUBTOTAL(9,Table1[[#This Row],[Up Next Priority]:[Campus]])</f>
        <v>0</v>
      </c>
      <c r="AL119" s="52"/>
      <c r="AM119" s="42"/>
      <c r="AN119" s="43"/>
      <c r="AO119" s="44"/>
      <c r="AP119" s="44"/>
      <c r="AQ119" s="44"/>
      <c r="AR119" s="44"/>
      <c r="AS119" s="51"/>
      <c r="AT119" s="44"/>
      <c r="AU119" s="66">
        <f>SUM(Table1[[#This Row],[Org Impact Score]:[Tools]])</f>
        <v>0</v>
      </c>
      <c r="AV119" s="45"/>
      <c r="AW119" s="34"/>
      <c r="AX119" s="34"/>
      <c r="AY119" s="34"/>
    </row>
    <row r="120" spans="1:51">
      <c r="A120" s="31" t="s">
        <v>834</v>
      </c>
      <c r="B120" s="32" t="s">
        <v>195</v>
      </c>
      <c r="C120" s="32" t="b">
        <v>0</v>
      </c>
      <c r="D120" s="32" t="s">
        <v>833</v>
      </c>
      <c r="E120" s="32" t="s">
        <v>890</v>
      </c>
      <c r="F120" s="32" t="s">
        <v>901</v>
      </c>
      <c r="G120" s="32"/>
      <c r="H120" s="65" t="s">
        <v>835</v>
      </c>
      <c r="I120" s="33"/>
      <c r="J120" s="33"/>
      <c r="K120" s="33"/>
      <c r="L120" s="34"/>
      <c r="M120" s="6"/>
      <c r="N120" s="6"/>
      <c r="O120" s="6"/>
      <c r="P120" s="36"/>
      <c r="Q120" s="34"/>
      <c r="R120" s="34"/>
      <c r="S120" s="34"/>
      <c r="T120" s="37"/>
      <c r="U120" s="37"/>
      <c r="V120" s="38">
        <f>DATEDIF(Table1[[#This Row],[Sponsor*]],Table1[[#This Row],[Start Date*]],"d")</f>
        <v>0</v>
      </c>
      <c r="W120" s="62" t="e">
        <f>DATEDIF([1]!Table1[[#This Row],[Start Date*]],[1]!Table1[[#This Row],[End Date*]],"d")</f>
        <v>#VALUE!</v>
      </c>
      <c r="X120" s="39"/>
      <c r="Y120" s="34"/>
      <c r="Z120" s="34"/>
      <c r="AC120" s="34"/>
      <c r="AE120" s="34"/>
      <c r="AF120" s="40"/>
      <c r="AG120" s="34"/>
      <c r="AH120" s="34"/>
      <c r="AI120" s="34"/>
      <c r="AJ120" s="34"/>
      <c r="AK120" s="34">
        <f>SUBTOTAL(9,Table1[[#This Row],[Up Next Priority]:[Campus]])</f>
        <v>0</v>
      </c>
      <c r="AL120" s="52"/>
      <c r="AM120" s="42"/>
      <c r="AN120" s="43"/>
      <c r="AO120" s="44"/>
      <c r="AP120" s="44"/>
      <c r="AQ120" s="44"/>
      <c r="AR120" s="44"/>
      <c r="AS120" s="51"/>
      <c r="AT120" s="44"/>
      <c r="AU120" s="66">
        <f>SUM(Table1[[#This Row],[Org Impact Score]:[Tools]])</f>
        <v>0</v>
      </c>
      <c r="AV120" s="45"/>
      <c r="AW120" s="34"/>
      <c r="AX120" s="34"/>
      <c r="AY120" s="34"/>
    </row>
    <row r="121" spans="1:51">
      <c r="A121" s="31" t="s">
        <v>831</v>
      </c>
      <c r="B121" s="32" t="s">
        <v>195</v>
      </c>
      <c r="C121" s="32" t="b">
        <v>0</v>
      </c>
      <c r="D121" s="32" t="s">
        <v>830</v>
      </c>
      <c r="E121" s="32" t="s">
        <v>890</v>
      </c>
      <c r="F121" s="32" t="s">
        <v>901</v>
      </c>
      <c r="G121" s="32"/>
      <c r="H121" s="65" t="s">
        <v>832</v>
      </c>
      <c r="I121" s="33"/>
      <c r="J121" s="33"/>
      <c r="K121" s="33"/>
      <c r="L121" s="34"/>
      <c r="M121" s="6"/>
      <c r="N121" s="6"/>
      <c r="O121" s="6"/>
      <c r="P121" s="36"/>
      <c r="Q121" s="34"/>
      <c r="R121" s="34"/>
      <c r="S121" s="34"/>
      <c r="T121" s="37"/>
      <c r="U121" s="37"/>
      <c r="V121" s="38">
        <f>DATEDIF(Table1[[#This Row],[Sponsor*]],Table1[[#This Row],[Start Date*]],"d")</f>
        <v>0</v>
      </c>
      <c r="W121" s="62" t="e">
        <f>DATEDIF([1]!Table1[[#This Row],[Start Date*]],[1]!Table1[[#This Row],[End Date*]],"d")</f>
        <v>#VALUE!</v>
      </c>
      <c r="X121" s="39"/>
      <c r="Y121" s="34"/>
      <c r="Z121" s="34"/>
      <c r="AC121" s="34"/>
      <c r="AE121" s="34"/>
      <c r="AF121" s="40"/>
      <c r="AG121" s="34"/>
      <c r="AH121" s="34"/>
      <c r="AI121" s="34"/>
      <c r="AJ121" s="34"/>
      <c r="AK121" s="34">
        <f>SUBTOTAL(9,Table1[[#This Row],[Up Next Priority]:[Campus]])</f>
        <v>0</v>
      </c>
      <c r="AL121" s="52"/>
      <c r="AM121" s="42"/>
      <c r="AN121" s="43"/>
      <c r="AO121" s="44"/>
      <c r="AP121" s="44"/>
      <c r="AQ121" s="44"/>
      <c r="AR121" s="44"/>
      <c r="AS121" s="51"/>
      <c r="AT121" s="44"/>
      <c r="AU121" s="66">
        <f>SUM(Table1[[#This Row],[Org Impact Score]:[Tools]])</f>
        <v>0</v>
      </c>
      <c r="AV121" s="45"/>
      <c r="AW121" s="34"/>
      <c r="AX121" s="34"/>
      <c r="AY121" s="34"/>
    </row>
    <row r="122" spans="1:51">
      <c r="A122" s="31" t="s">
        <v>828</v>
      </c>
      <c r="B122" s="32" t="s">
        <v>195</v>
      </c>
      <c r="C122" s="32" t="b">
        <v>0</v>
      </c>
      <c r="D122" s="56" t="s">
        <v>827</v>
      </c>
      <c r="E122" s="32" t="s">
        <v>890</v>
      </c>
      <c r="F122" s="32" t="s">
        <v>901</v>
      </c>
      <c r="G122" s="32"/>
      <c r="H122" s="65" t="s">
        <v>829</v>
      </c>
      <c r="I122" s="33"/>
      <c r="J122" s="33"/>
      <c r="K122" s="33"/>
      <c r="L122" s="34"/>
      <c r="M122" s="6"/>
      <c r="N122" s="6"/>
      <c r="O122" s="6"/>
      <c r="P122" s="36"/>
      <c r="Q122" s="34"/>
      <c r="R122" s="34"/>
      <c r="S122" s="34"/>
      <c r="T122" s="37"/>
      <c r="U122" s="37"/>
      <c r="V122" s="38">
        <f>DATEDIF(Table1[[#This Row],[Sponsor*]],Table1[[#This Row],[Start Date*]],"d")</f>
        <v>0</v>
      </c>
      <c r="W122" s="62" t="e">
        <f>DATEDIF([1]!Table1[[#This Row],[Start Date*]],[1]!Table1[[#This Row],[End Date*]],"d")</f>
        <v>#VALUE!</v>
      </c>
      <c r="X122" s="39"/>
      <c r="Y122" s="34"/>
      <c r="Z122" s="34"/>
      <c r="AC122" s="34"/>
      <c r="AE122" s="34"/>
      <c r="AF122" s="40"/>
      <c r="AG122" s="34"/>
      <c r="AH122" s="34"/>
      <c r="AI122" s="34"/>
      <c r="AJ122" s="34"/>
      <c r="AK122" s="34">
        <f>SUBTOTAL(9,Table1[[#This Row],[Up Next Priority]:[Campus]])</f>
        <v>0</v>
      </c>
      <c r="AL122" s="52"/>
      <c r="AM122" s="42"/>
      <c r="AN122" s="43"/>
      <c r="AO122" s="44"/>
      <c r="AP122" s="44"/>
      <c r="AQ122" s="44"/>
      <c r="AR122" s="44"/>
      <c r="AS122" s="51"/>
      <c r="AT122" s="44"/>
      <c r="AU122" s="66">
        <f>SUM(Table1[[#This Row],[Org Impact Score]:[Tools]])</f>
        <v>0</v>
      </c>
      <c r="AV122" s="45"/>
      <c r="AW122" s="34"/>
      <c r="AX122" s="34"/>
      <c r="AY122" s="34"/>
    </row>
    <row r="123" spans="1:51">
      <c r="A123" s="31" t="s">
        <v>825</v>
      </c>
      <c r="B123" s="32" t="s">
        <v>195</v>
      </c>
      <c r="C123" s="32" t="b">
        <v>0</v>
      </c>
      <c r="D123" s="32" t="s">
        <v>824</v>
      </c>
      <c r="E123" s="32" t="s">
        <v>890</v>
      </c>
      <c r="F123" s="32" t="s">
        <v>901</v>
      </c>
      <c r="G123" s="32"/>
      <c r="H123" s="65" t="s">
        <v>826</v>
      </c>
      <c r="I123" s="33"/>
      <c r="J123" s="33"/>
      <c r="K123" s="33"/>
      <c r="L123" s="34"/>
      <c r="M123" s="6"/>
      <c r="N123" s="6"/>
      <c r="O123" s="6"/>
      <c r="P123" s="36"/>
      <c r="Q123" s="34"/>
      <c r="R123" s="34"/>
      <c r="S123" s="34"/>
      <c r="T123" s="37"/>
      <c r="U123" s="37"/>
      <c r="V123" s="38">
        <f>DATEDIF(Table1[[#This Row],[Sponsor*]],Table1[[#This Row],[Start Date*]],"d")</f>
        <v>0</v>
      </c>
      <c r="W123" s="62" t="e">
        <f>DATEDIF([1]!Table1[[#This Row],[Start Date*]],[1]!Table1[[#This Row],[End Date*]],"d")</f>
        <v>#VALUE!</v>
      </c>
      <c r="X123" s="39"/>
      <c r="Y123" s="34"/>
      <c r="Z123" s="34"/>
      <c r="AC123" s="34"/>
      <c r="AE123" s="34"/>
      <c r="AF123" s="40"/>
      <c r="AG123" s="34"/>
      <c r="AH123" s="34"/>
      <c r="AI123" s="34"/>
      <c r="AJ123" s="34"/>
      <c r="AK123" s="34">
        <f>SUBTOTAL(9,Table1[[#This Row],[Up Next Priority]:[Campus]])</f>
        <v>0</v>
      </c>
      <c r="AL123" s="52"/>
      <c r="AM123" s="42"/>
      <c r="AN123" s="43"/>
      <c r="AO123" s="44"/>
      <c r="AP123" s="44"/>
      <c r="AQ123" s="44"/>
      <c r="AR123" s="44"/>
      <c r="AS123" s="51"/>
      <c r="AT123" s="44"/>
      <c r="AU123" s="66">
        <f>SUM(Table1[[#This Row],[Org Impact Score]:[Tools]])</f>
        <v>0</v>
      </c>
      <c r="AV123" s="45"/>
      <c r="AW123" s="34"/>
      <c r="AX123" s="34"/>
      <c r="AY123" s="34"/>
    </row>
    <row r="124" spans="1:51">
      <c r="A124" s="31" t="s">
        <v>822</v>
      </c>
      <c r="B124" s="32" t="s">
        <v>195</v>
      </c>
      <c r="C124" s="32" t="b">
        <v>0</v>
      </c>
      <c r="D124" s="32" t="s">
        <v>821</v>
      </c>
      <c r="E124" s="32" t="s">
        <v>890</v>
      </c>
      <c r="F124" s="32" t="s">
        <v>901</v>
      </c>
      <c r="G124" s="32"/>
      <c r="H124" s="65" t="s">
        <v>823</v>
      </c>
      <c r="I124" s="33"/>
      <c r="J124" s="33"/>
      <c r="K124" s="33"/>
      <c r="L124" s="34"/>
      <c r="M124" s="6"/>
      <c r="N124" s="6"/>
      <c r="O124" s="6"/>
      <c r="P124" s="36"/>
      <c r="Q124" s="34"/>
      <c r="R124" s="34"/>
      <c r="S124" s="34"/>
      <c r="T124" s="37"/>
      <c r="U124" s="37"/>
      <c r="V124" s="38">
        <f>DATEDIF(Table1[[#This Row],[Sponsor*]],Table1[[#This Row],[Start Date*]],"d")</f>
        <v>0</v>
      </c>
      <c r="W124" s="62" t="e">
        <f>DATEDIF([1]!Table1[[#This Row],[Start Date*]],[1]!Table1[[#This Row],[End Date*]],"d")</f>
        <v>#VALUE!</v>
      </c>
      <c r="X124" s="39"/>
      <c r="Y124" s="34"/>
      <c r="Z124" s="34"/>
      <c r="AC124" s="34"/>
      <c r="AE124" s="34"/>
      <c r="AF124" s="40"/>
      <c r="AG124" s="34"/>
      <c r="AH124" s="34"/>
      <c r="AI124" s="34"/>
      <c r="AJ124" s="34"/>
      <c r="AK124" s="34">
        <f>SUBTOTAL(9,Table1[[#This Row],[Up Next Priority]:[Campus]])</f>
        <v>0</v>
      </c>
      <c r="AL124" s="52"/>
      <c r="AM124" s="42"/>
      <c r="AN124" s="43"/>
      <c r="AO124" s="44"/>
      <c r="AP124" s="44"/>
      <c r="AQ124" s="44"/>
      <c r="AR124" s="44"/>
      <c r="AS124" s="51"/>
      <c r="AT124" s="44"/>
      <c r="AU124" s="66">
        <f>SUM(Table1[[#This Row],[Org Impact Score]:[Tools]])</f>
        <v>0</v>
      </c>
      <c r="AV124" s="45"/>
      <c r="AW124" s="34"/>
      <c r="AX124" s="34"/>
      <c r="AY124" s="34"/>
    </row>
    <row r="125" spans="1:51">
      <c r="A125" s="31" t="s">
        <v>819</v>
      </c>
      <c r="B125" s="32" t="s">
        <v>195</v>
      </c>
      <c r="C125" s="32" t="b">
        <v>0</v>
      </c>
      <c r="D125" s="32" t="s">
        <v>818</v>
      </c>
      <c r="E125" s="32" t="s">
        <v>890</v>
      </c>
      <c r="F125" s="32" t="s">
        <v>901</v>
      </c>
      <c r="G125" s="32"/>
      <c r="H125" s="65" t="s">
        <v>820</v>
      </c>
      <c r="I125" s="33"/>
      <c r="J125" s="33"/>
      <c r="K125" s="33"/>
      <c r="L125" s="34"/>
      <c r="M125" s="6"/>
      <c r="N125" s="6"/>
      <c r="O125" s="6"/>
      <c r="P125" s="36"/>
      <c r="Q125" s="34"/>
      <c r="R125" s="34"/>
      <c r="S125" s="34"/>
      <c r="T125" s="37"/>
      <c r="U125" s="37"/>
      <c r="V125" s="38">
        <f>DATEDIF(Table1[[#This Row],[Sponsor*]],Table1[[#This Row],[Start Date*]],"d")</f>
        <v>0</v>
      </c>
      <c r="W125" s="62" t="e">
        <f>DATEDIF([1]!Table1[[#This Row],[Start Date*]],[1]!Table1[[#This Row],[End Date*]],"d")</f>
        <v>#VALUE!</v>
      </c>
      <c r="X125" s="39"/>
      <c r="Y125" s="34"/>
      <c r="Z125" s="34"/>
      <c r="AC125" s="34"/>
      <c r="AE125" s="34"/>
      <c r="AF125" s="40"/>
      <c r="AG125" s="34"/>
      <c r="AH125" s="34"/>
      <c r="AI125" s="34"/>
      <c r="AJ125" s="34"/>
      <c r="AK125" s="34">
        <f>SUBTOTAL(9,Table1[[#This Row],[Up Next Priority]:[Campus]])</f>
        <v>0</v>
      </c>
      <c r="AL125" s="52"/>
      <c r="AM125" s="42"/>
      <c r="AN125" s="43"/>
      <c r="AO125" s="44"/>
      <c r="AP125" s="44"/>
      <c r="AQ125" s="44"/>
      <c r="AR125" s="44"/>
      <c r="AS125" s="51"/>
      <c r="AT125" s="44"/>
      <c r="AU125" s="66">
        <f>SUM(Table1[[#This Row],[Org Impact Score]:[Tools]])</f>
        <v>0</v>
      </c>
      <c r="AV125" s="45"/>
      <c r="AW125" s="34"/>
      <c r="AX125" s="34"/>
      <c r="AY125" s="34"/>
    </row>
    <row r="126" spans="1:51">
      <c r="A126" s="31" t="s">
        <v>816</v>
      </c>
      <c r="B126" s="32" t="s">
        <v>195</v>
      </c>
      <c r="C126" s="32" t="b">
        <v>0</v>
      </c>
      <c r="D126" s="32" t="s">
        <v>815</v>
      </c>
      <c r="E126" s="32" t="s">
        <v>890</v>
      </c>
      <c r="F126" s="32" t="s">
        <v>901</v>
      </c>
      <c r="G126" s="32"/>
      <c r="H126" s="65" t="s">
        <v>817</v>
      </c>
      <c r="I126" s="33"/>
      <c r="J126" s="33"/>
      <c r="K126" s="33"/>
      <c r="L126" s="34"/>
      <c r="M126" s="6"/>
      <c r="N126" s="6"/>
      <c r="O126" s="6"/>
      <c r="P126" s="36"/>
      <c r="Q126" s="34"/>
      <c r="R126" s="34"/>
      <c r="S126" s="34"/>
      <c r="T126" s="37"/>
      <c r="U126" s="37"/>
      <c r="V126" s="38">
        <f>DATEDIF(Table1[[#This Row],[Sponsor*]],Table1[[#This Row],[Start Date*]],"d")</f>
        <v>0</v>
      </c>
      <c r="W126" s="62" t="e">
        <f>DATEDIF([1]!Table1[[#This Row],[Start Date*]],[1]!Table1[[#This Row],[End Date*]],"d")</f>
        <v>#VALUE!</v>
      </c>
      <c r="X126" s="39"/>
      <c r="Y126" s="34"/>
      <c r="Z126" s="34"/>
      <c r="AC126" s="34"/>
      <c r="AE126" s="34"/>
      <c r="AF126" s="40"/>
      <c r="AG126" s="34"/>
      <c r="AH126" s="34"/>
      <c r="AI126" s="34"/>
      <c r="AJ126" s="34"/>
      <c r="AK126" s="34">
        <f>SUBTOTAL(9,Table1[[#This Row],[Up Next Priority]:[Campus]])</f>
        <v>0</v>
      </c>
      <c r="AL126" s="52"/>
      <c r="AM126" s="42"/>
      <c r="AN126" s="43"/>
      <c r="AO126" s="44"/>
      <c r="AP126" s="44"/>
      <c r="AQ126" s="44"/>
      <c r="AR126" s="44"/>
      <c r="AS126" s="51"/>
      <c r="AT126" s="44"/>
      <c r="AU126" s="66">
        <f>SUM(Table1[[#This Row],[Org Impact Score]:[Tools]])</f>
        <v>0</v>
      </c>
      <c r="AV126" s="45"/>
      <c r="AW126" s="34"/>
      <c r="AX126" s="34"/>
      <c r="AY126" s="34"/>
    </row>
    <row r="127" spans="1:51">
      <c r="A127" s="31" t="s">
        <v>813</v>
      </c>
      <c r="B127" s="32" t="s">
        <v>195</v>
      </c>
      <c r="C127" s="32" t="b">
        <v>0</v>
      </c>
      <c r="D127" s="32" t="s">
        <v>812</v>
      </c>
      <c r="E127" s="32" t="s">
        <v>890</v>
      </c>
      <c r="F127" s="32" t="s">
        <v>900</v>
      </c>
      <c r="G127" s="32"/>
      <c r="H127" s="65" t="s">
        <v>814</v>
      </c>
      <c r="I127" s="33"/>
      <c r="J127" s="33"/>
      <c r="K127" s="33"/>
      <c r="L127" s="34"/>
      <c r="M127" s="6"/>
      <c r="N127" s="6"/>
      <c r="O127" s="6"/>
      <c r="P127" s="36"/>
      <c r="Q127" s="34"/>
      <c r="R127" s="34"/>
      <c r="S127" s="34"/>
      <c r="T127" s="37"/>
      <c r="U127" s="37"/>
      <c r="V127" s="38">
        <f>DATEDIF(Table1[[#This Row],[Sponsor*]],Table1[[#This Row],[Start Date*]],"d")</f>
        <v>0</v>
      </c>
      <c r="W127" s="62" t="e">
        <f>DATEDIF([1]!Table1[[#This Row],[Start Date*]],[1]!Table1[[#This Row],[End Date*]],"d")</f>
        <v>#VALUE!</v>
      </c>
      <c r="X127" s="39"/>
      <c r="Y127" s="34"/>
      <c r="Z127" s="34"/>
      <c r="AC127" s="34"/>
      <c r="AE127" s="34"/>
      <c r="AF127" s="40"/>
      <c r="AG127" s="34"/>
      <c r="AH127" s="34"/>
      <c r="AI127" s="34"/>
      <c r="AJ127" s="34"/>
      <c r="AK127" s="34">
        <f>SUBTOTAL(9,Table1[[#This Row],[Up Next Priority]:[Campus]])</f>
        <v>0</v>
      </c>
      <c r="AL127" s="52"/>
      <c r="AM127" s="42"/>
      <c r="AN127" s="43"/>
      <c r="AO127" s="44"/>
      <c r="AP127" s="44"/>
      <c r="AQ127" s="44"/>
      <c r="AR127" s="44"/>
      <c r="AS127" s="51"/>
      <c r="AT127" s="44"/>
      <c r="AU127" s="66">
        <f>SUM(Table1[[#This Row],[Org Impact Score]:[Tools]])</f>
        <v>0</v>
      </c>
      <c r="AV127" s="45"/>
      <c r="AW127" s="34"/>
      <c r="AX127" s="34"/>
      <c r="AY127" s="34"/>
    </row>
    <row r="128" spans="1:51">
      <c r="A128" s="31" t="s">
        <v>810</v>
      </c>
      <c r="B128" s="32" t="s">
        <v>195</v>
      </c>
      <c r="C128" s="32" t="b">
        <v>0</v>
      </c>
      <c r="D128" s="32" t="s">
        <v>809</v>
      </c>
      <c r="E128" s="32" t="s">
        <v>890</v>
      </c>
      <c r="F128" s="32" t="s">
        <v>900</v>
      </c>
      <c r="G128" s="32"/>
      <c r="H128" s="65" t="s">
        <v>811</v>
      </c>
      <c r="I128" s="33"/>
      <c r="J128" s="33"/>
      <c r="K128" s="33"/>
      <c r="L128" s="34"/>
      <c r="M128" s="6"/>
      <c r="N128" s="6"/>
      <c r="O128" s="6"/>
      <c r="P128" s="36"/>
      <c r="Q128" s="34"/>
      <c r="R128" s="34"/>
      <c r="S128" s="34"/>
      <c r="T128" s="37"/>
      <c r="U128" s="37"/>
      <c r="V128" s="38">
        <f>DATEDIF(Table1[[#This Row],[Sponsor*]],Table1[[#This Row],[Start Date*]],"d")</f>
        <v>0</v>
      </c>
      <c r="W128" s="62" t="e">
        <f>DATEDIF([1]!Table1[[#This Row],[Start Date*]],[1]!Table1[[#This Row],[End Date*]],"d")</f>
        <v>#VALUE!</v>
      </c>
      <c r="X128" s="39"/>
      <c r="Y128" s="34"/>
      <c r="Z128" s="34"/>
      <c r="AC128" s="34"/>
      <c r="AE128" s="34"/>
      <c r="AF128" s="40"/>
      <c r="AG128" s="34"/>
      <c r="AH128" s="34"/>
      <c r="AI128" s="34"/>
      <c r="AJ128" s="34"/>
      <c r="AK128" s="34">
        <f>SUBTOTAL(9,Table1[[#This Row],[Up Next Priority]:[Campus]])</f>
        <v>0</v>
      </c>
      <c r="AL128" s="52"/>
      <c r="AM128" s="42"/>
      <c r="AN128" s="43"/>
      <c r="AO128" s="44"/>
      <c r="AP128" s="44"/>
      <c r="AQ128" s="44"/>
      <c r="AR128" s="44"/>
      <c r="AS128" s="51"/>
      <c r="AT128" s="44"/>
      <c r="AU128" s="66">
        <f>SUM(Table1[[#This Row],[Org Impact Score]:[Tools]])</f>
        <v>0</v>
      </c>
      <c r="AV128" s="45"/>
      <c r="AW128" s="34"/>
      <c r="AX128" s="34"/>
      <c r="AY128" s="34"/>
    </row>
    <row r="129" spans="1:51">
      <c r="A129" s="31" t="s">
        <v>807</v>
      </c>
      <c r="B129" s="32" t="s">
        <v>195</v>
      </c>
      <c r="C129" s="32" t="b">
        <v>0</v>
      </c>
      <c r="D129" s="32" t="s">
        <v>806</v>
      </c>
      <c r="E129" s="32" t="s">
        <v>890</v>
      </c>
      <c r="F129" s="32" t="s">
        <v>900</v>
      </c>
      <c r="G129" s="32"/>
      <c r="H129" s="65" t="s">
        <v>808</v>
      </c>
      <c r="I129" s="33"/>
      <c r="J129" s="33"/>
      <c r="K129" s="33"/>
      <c r="L129" s="34"/>
      <c r="M129" s="6"/>
      <c r="N129" s="6"/>
      <c r="O129" s="6"/>
      <c r="P129" s="36"/>
      <c r="Q129" s="34"/>
      <c r="R129" s="34"/>
      <c r="S129" s="34"/>
      <c r="T129" s="37"/>
      <c r="U129" s="37"/>
      <c r="V129" s="38">
        <f>DATEDIF(Table1[[#This Row],[Sponsor*]],Table1[[#This Row],[Start Date*]],"d")</f>
        <v>0</v>
      </c>
      <c r="W129" s="62" t="e">
        <f>DATEDIF([1]!Table1[[#This Row],[Start Date*]],[1]!Table1[[#This Row],[End Date*]],"d")</f>
        <v>#VALUE!</v>
      </c>
      <c r="X129" s="39"/>
      <c r="Y129" s="34"/>
      <c r="Z129" s="34"/>
      <c r="AC129" s="34"/>
      <c r="AE129" s="34"/>
      <c r="AF129" s="40"/>
      <c r="AG129" s="34"/>
      <c r="AH129" s="34"/>
      <c r="AI129" s="34"/>
      <c r="AJ129" s="34"/>
      <c r="AK129" s="34">
        <f>SUBTOTAL(9,Table1[[#This Row],[Up Next Priority]:[Campus]])</f>
        <v>0</v>
      </c>
      <c r="AL129" s="52"/>
      <c r="AM129" s="42"/>
      <c r="AN129" s="43"/>
      <c r="AO129" s="44"/>
      <c r="AP129" s="44"/>
      <c r="AQ129" s="44"/>
      <c r="AR129" s="44"/>
      <c r="AS129" s="51"/>
      <c r="AT129" s="44"/>
      <c r="AU129" s="66">
        <f>SUM(Table1[[#This Row],[Org Impact Score]:[Tools]])</f>
        <v>0</v>
      </c>
      <c r="AV129" s="45"/>
      <c r="AW129" s="34"/>
      <c r="AX129" s="34"/>
      <c r="AY129" s="34"/>
    </row>
    <row r="130" spans="1:51">
      <c r="A130" s="31" t="s">
        <v>804</v>
      </c>
      <c r="B130" s="32" t="s">
        <v>195</v>
      </c>
      <c r="C130" s="32" t="b">
        <v>0</v>
      </c>
      <c r="D130" s="32" t="s">
        <v>803</v>
      </c>
      <c r="E130" s="32" t="s">
        <v>890</v>
      </c>
      <c r="F130" s="32" t="s">
        <v>900</v>
      </c>
      <c r="G130" s="32"/>
      <c r="H130" s="65" t="s">
        <v>805</v>
      </c>
      <c r="I130" s="33"/>
      <c r="J130" s="33"/>
      <c r="K130" s="33"/>
      <c r="L130" s="34"/>
      <c r="M130" s="6"/>
      <c r="N130" s="6"/>
      <c r="O130" s="6"/>
      <c r="P130" s="36"/>
      <c r="Q130" s="34"/>
      <c r="R130" s="34"/>
      <c r="S130" s="34"/>
      <c r="T130" s="37"/>
      <c r="U130" s="37"/>
      <c r="V130" s="38">
        <f>DATEDIF(Table1[[#This Row],[Sponsor*]],Table1[[#This Row],[Start Date*]],"d")</f>
        <v>0</v>
      </c>
      <c r="W130" s="62" t="e">
        <f>DATEDIF([1]!Table1[[#This Row],[Start Date*]],[1]!Table1[[#This Row],[End Date*]],"d")</f>
        <v>#VALUE!</v>
      </c>
      <c r="X130" s="39"/>
      <c r="Y130" s="34"/>
      <c r="Z130" s="34"/>
      <c r="AC130" s="34"/>
      <c r="AE130" s="34"/>
      <c r="AF130" s="40"/>
      <c r="AG130" s="34"/>
      <c r="AH130" s="34"/>
      <c r="AI130" s="34"/>
      <c r="AJ130" s="34"/>
      <c r="AK130" s="34">
        <f>SUBTOTAL(9,Table1[[#This Row],[Up Next Priority]:[Campus]])</f>
        <v>0</v>
      </c>
      <c r="AL130" s="52"/>
      <c r="AM130" s="42"/>
      <c r="AN130" s="43"/>
      <c r="AO130" s="44"/>
      <c r="AP130" s="44"/>
      <c r="AQ130" s="44"/>
      <c r="AR130" s="44"/>
      <c r="AS130" s="51"/>
      <c r="AT130" s="44"/>
      <c r="AU130" s="66">
        <f>SUM(Table1[[#This Row],[Org Impact Score]:[Tools]])</f>
        <v>0</v>
      </c>
      <c r="AV130" s="45"/>
      <c r="AW130" s="34"/>
      <c r="AX130" s="34"/>
      <c r="AY130" s="34"/>
    </row>
    <row r="131" spans="1:51">
      <c r="A131" s="31" t="s">
        <v>801</v>
      </c>
      <c r="B131" s="32" t="s">
        <v>195</v>
      </c>
      <c r="C131" s="32" t="b">
        <v>0</v>
      </c>
      <c r="D131" s="32" t="s">
        <v>800</v>
      </c>
      <c r="E131" s="32" t="s">
        <v>890</v>
      </c>
      <c r="F131" s="32" t="s">
        <v>900</v>
      </c>
      <c r="G131" s="32"/>
      <c r="H131" s="65" t="s">
        <v>802</v>
      </c>
      <c r="I131" s="33"/>
      <c r="J131" s="33"/>
      <c r="K131" s="33"/>
      <c r="L131" s="34"/>
      <c r="M131" s="6"/>
      <c r="N131" s="6"/>
      <c r="O131" s="6"/>
      <c r="P131" s="36"/>
      <c r="Q131" s="34"/>
      <c r="R131" s="34"/>
      <c r="S131" s="34"/>
      <c r="T131" s="37"/>
      <c r="U131" s="37"/>
      <c r="V131" s="38">
        <f>DATEDIF(Table1[[#This Row],[Sponsor*]],Table1[[#This Row],[Start Date*]],"d")</f>
        <v>0</v>
      </c>
      <c r="W131" s="62" t="e">
        <f>DATEDIF([1]!Table1[[#This Row],[Start Date*]],[1]!Table1[[#This Row],[End Date*]],"d")</f>
        <v>#VALUE!</v>
      </c>
      <c r="X131" s="39"/>
      <c r="Y131" s="34"/>
      <c r="Z131" s="34"/>
      <c r="AC131" s="34"/>
      <c r="AE131" s="34"/>
      <c r="AF131" s="40"/>
      <c r="AG131" s="34"/>
      <c r="AH131" s="34"/>
      <c r="AI131" s="34"/>
      <c r="AJ131" s="34"/>
      <c r="AK131" s="34">
        <f>SUBTOTAL(9,Table1[[#This Row],[Up Next Priority]:[Campus]])</f>
        <v>0</v>
      </c>
      <c r="AL131" s="52"/>
      <c r="AM131" s="42"/>
      <c r="AN131" s="43"/>
      <c r="AO131" s="44"/>
      <c r="AP131" s="44"/>
      <c r="AQ131" s="44"/>
      <c r="AR131" s="44"/>
      <c r="AS131" s="51"/>
      <c r="AT131" s="44"/>
      <c r="AU131" s="66">
        <f>SUM(Table1[[#This Row],[Org Impact Score]:[Tools]])</f>
        <v>0</v>
      </c>
      <c r="AV131" s="45"/>
      <c r="AW131" s="34"/>
      <c r="AX131" s="34"/>
      <c r="AY131" s="34"/>
    </row>
    <row r="132" spans="1:51">
      <c r="A132" s="31" t="s">
        <v>798</v>
      </c>
      <c r="B132" s="32" t="s">
        <v>195</v>
      </c>
      <c r="C132" s="32" t="b">
        <v>0</v>
      </c>
      <c r="D132" s="32" t="s">
        <v>797</v>
      </c>
      <c r="E132" s="32" t="s">
        <v>890</v>
      </c>
      <c r="F132" s="32" t="s">
        <v>900</v>
      </c>
      <c r="G132" s="32"/>
      <c r="H132" s="65" t="s">
        <v>799</v>
      </c>
      <c r="I132" s="33"/>
      <c r="J132" s="33"/>
      <c r="K132" s="33"/>
      <c r="L132" s="34"/>
      <c r="M132" s="6"/>
      <c r="N132" s="6"/>
      <c r="O132" s="6"/>
      <c r="P132" s="36"/>
      <c r="Q132" s="34"/>
      <c r="R132" s="34"/>
      <c r="S132" s="34"/>
      <c r="T132" s="37"/>
      <c r="U132" s="37"/>
      <c r="V132" s="38">
        <f>DATEDIF(Table1[[#This Row],[Sponsor*]],Table1[[#This Row],[Start Date*]],"d")</f>
        <v>0</v>
      </c>
      <c r="W132" s="62" t="e">
        <f>DATEDIF([1]!Table1[[#This Row],[Start Date*]],[1]!Table1[[#This Row],[End Date*]],"d")</f>
        <v>#VALUE!</v>
      </c>
      <c r="X132" s="39"/>
      <c r="Y132" s="34"/>
      <c r="Z132" s="34"/>
      <c r="AC132" s="34"/>
      <c r="AE132" s="34"/>
      <c r="AF132" s="40"/>
      <c r="AG132" s="34"/>
      <c r="AH132" s="34"/>
      <c r="AI132" s="34"/>
      <c r="AJ132" s="34"/>
      <c r="AK132" s="34">
        <f>SUBTOTAL(9,Table1[[#This Row],[Up Next Priority]:[Campus]])</f>
        <v>0</v>
      </c>
      <c r="AL132" s="52"/>
      <c r="AM132" s="42"/>
      <c r="AN132" s="43"/>
      <c r="AO132" s="44"/>
      <c r="AP132" s="44"/>
      <c r="AQ132" s="44"/>
      <c r="AR132" s="44"/>
      <c r="AS132" s="51"/>
      <c r="AT132" s="44"/>
      <c r="AU132" s="66">
        <f>SUM(Table1[[#This Row],[Org Impact Score]:[Tools]])</f>
        <v>0</v>
      </c>
      <c r="AV132" s="45"/>
      <c r="AW132" s="34"/>
      <c r="AX132" s="34"/>
      <c r="AY132" s="34"/>
    </row>
    <row r="133" spans="1:51">
      <c r="A133" s="31" t="s">
        <v>795</v>
      </c>
      <c r="B133" s="32" t="s">
        <v>195</v>
      </c>
      <c r="C133" s="32" t="b">
        <v>0</v>
      </c>
      <c r="D133" s="32" t="s">
        <v>794</v>
      </c>
      <c r="E133" s="32" t="s">
        <v>890</v>
      </c>
      <c r="F133" s="32" t="s">
        <v>900</v>
      </c>
      <c r="G133" s="32"/>
      <c r="H133" s="65" t="s">
        <v>796</v>
      </c>
      <c r="I133" s="33"/>
      <c r="J133" s="33"/>
      <c r="K133" s="33"/>
      <c r="L133" s="34"/>
      <c r="M133" s="6"/>
      <c r="N133" s="6"/>
      <c r="O133" s="6"/>
      <c r="P133" s="36"/>
      <c r="Q133" s="34"/>
      <c r="R133" s="34"/>
      <c r="S133" s="34"/>
      <c r="T133" s="37"/>
      <c r="U133" s="37"/>
      <c r="V133" s="38">
        <f>DATEDIF(Table1[[#This Row],[Sponsor*]],Table1[[#This Row],[Start Date*]],"d")</f>
        <v>0</v>
      </c>
      <c r="W133" s="62" t="e">
        <f>DATEDIF([1]!Table1[[#This Row],[Start Date*]],[1]!Table1[[#This Row],[End Date*]],"d")</f>
        <v>#VALUE!</v>
      </c>
      <c r="X133" s="39"/>
      <c r="Y133" s="34"/>
      <c r="Z133" s="34"/>
      <c r="AC133" s="34"/>
      <c r="AE133" s="34"/>
      <c r="AF133" s="40"/>
      <c r="AG133" s="34"/>
      <c r="AH133" s="34"/>
      <c r="AI133" s="34"/>
      <c r="AJ133" s="34"/>
      <c r="AK133" s="34">
        <f>SUBTOTAL(9,Table1[[#This Row],[Up Next Priority]:[Campus]])</f>
        <v>0</v>
      </c>
      <c r="AL133" s="52"/>
      <c r="AM133" s="42"/>
      <c r="AN133" s="43"/>
      <c r="AO133" s="44"/>
      <c r="AP133" s="44"/>
      <c r="AQ133" s="44"/>
      <c r="AR133" s="44"/>
      <c r="AS133" s="51"/>
      <c r="AT133" s="44"/>
      <c r="AU133" s="66">
        <f>SUM(Table1[[#This Row],[Org Impact Score]:[Tools]])</f>
        <v>0</v>
      </c>
      <c r="AV133" s="45"/>
      <c r="AW133" s="34"/>
      <c r="AX133" s="34"/>
      <c r="AY133" s="34"/>
    </row>
    <row r="134" spans="1:51">
      <c r="A134" s="31" t="s">
        <v>792</v>
      </c>
      <c r="B134" s="32" t="s">
        <v>195</v>
      </c>
      <c r="C134" s="32" t="b">
        <v>0</v>
      </c>
      <c r="D134" s="32" t="s">
        <v>791</v>
      </c>
      <c r="E134" s="32" t="s">
        <v>890</v>
      </c>
      <c r="F134" s="32" t="s">
        <v>900</v>
      </c>
      <c r="G134" s="32"/>
      <c r="H134" s="65" t="s">
        <v>793</v>
      </c>
      <c r="I134" s="33"/>
      <c r="J134" s="33"/>
      <c r="K134" s="33"/>
      <c r="L134" s="34"/>
      <c r="M134" s="6"/>
      <c r="N134" s="6"/>
      <c r="O134" s="6"/>
      <c r="P134" s="36"/>
      <c r="Q134" s="34"/>
      <c r="R134" s="34"/>
      <c r="S134" s="34"/>
      <c r="T134" s="37"/>
      <c r="U134" s="37"/>
      <c r="V134" s="38">
        <f>DATEDIF(Table1[[#This Row],[Sponsor*]],Table1[[#This Row],[Start Date*]],"d")</f>
        <v>0</v>
      </c>
      <c r="W134" s="62" t="e">
        <f>DATEDIF([1]!Table1[[#This Row],[Start Date*]],[1]!Table1[[#This Row],[End Date*]],"d")</f>
        <v>#VALUE!</v>
      </c>
      <c r="X134" s="39"/>
      <c r="Y134" s="34"/>
      <c r="Z134" s="34"/>
      <c r="AC134" s="34"/>
      <c r="AE134" s="34"/>
      <c r="AF134" s="40"/>
      <c r="AG134" s="34"/>
      <c r="AH134" s="34"/>
      <c r="AI134" s="34"/>
      <c r="AJ134" s="34"/>
      <c r="AK134" s="34">
        <f>SUBTOTAL(9,Table1[[#This Row],[Up Next Priority]:[Campus]])</f>
        <v>0</v>
      </c>
      <c r="AL134" s="52"/>
      <c r="AM134" s="42"/>
      <c r="AN134" s="43"/>
      <c r="AO134" s="44"/>
      <c r="AP134" s="44"/>
      <c r="AQ134" s="44"/>
      <c r="AR134" s="44"/>
      <c r="AS134" s="51"/>
      <c r="AT134" s="44"/>
      <c r="AU134" s="66">
        <f>SUM(Table1[[#This Row],[Org Impact Score]:[Tools]])</f>
        <v>0</v>
      </c>
      <c r="AV134" s="45"/>
      <c r="AW134" s="34"/>
      <c r="AX134" s="34"/>
      <c r="AY134" s="34"/>
    </row>
    <row r="135" spans="1:51">
      <c r="A135" s="31" t="s">
        <v>789</v>
      </c>
      <c r="B135" s="32" t="s">
        <v>195</v>
      </c>
      <c r="C135" s="32" t="b">
        <v>0</v>
      </c>
      <c r="D135" s="32" t="s">
        <v>788</v>
      </c>
      <c r="E135" s="32" t="s">
        <v>890</v>
      </c>
      <c r="F135" s="32" t="s">
        <v>900</v>
      </c>
      <c r="G135" s="32"/>
      <c r="H135" s="65" t="s">
        <v>790</v>
      </c>
      <c r="I135" s="33"/>
      <c r="J135" s="33"/>
      <c r="K135" s="33"/>
      <c r="L135" s="34"/>
      <c r="M135" s="6"/>
      <c r="N135" s="6"/>
      <c r="O135" s="6"/>
      <c r="P135" s="36"/>
      <c r="Q135" s="34"/>
      <c r="R135" s="34"/>
      <c r="S135" s="34"/>
      <c r="T135" s="37"/>
      <c r="U135" s="37"/>
      <c r="V135" s="38">
        <f>DATEDIF(Table1[[#This Row],[Sponsor*]],Table1[[#This Row],[Start Date*]],"d")</f>
        <v>0</v>
      </c>
      <c r="W135" s="62" t="e">
        <f>DATEDIF([1]!Table1[[#This Row],[Start Date*]],[1]!Table1[[#This Row],[End Date*]],"d")</f>
        <v>#VALUE!</v>
      </c>
      <c r="X135" s="39"/>
      <c r="Y135" s="34"/>
      <c r="Z135" s="34"/>
      <c r="AC135" s="34"/>
      <c r="AE135" s="34"/>
      <c r="AF135" s="40"/>
      <c r="AG135" s="34"/>
      <c r="AH135" s="34"/>
      <c r="AI135" s="34"/>
      <c r="AJ135" s="34"/>
      <c r="AK135" s="34">
        <f>SUBTOTAL(9,Table1[[#This Row],[Up Next Priority]:[Campus]])</f>
        <v>0</v>
      </c>
      <c r="AL135" s="52"/>
      <c r="AM135" s="42"/>
      <c r="AN135" s="43"/>
      <c r="AO135" s="44"/>
      <c r="AP135" s="44"/>
      <c r="AQ135" s="44"/>
      <c r="AR135" s="44"/>
      <c r="AS135" s="51"/>
      <c r="AT135" s="44"/>
      <c r="AU135" s="66">
        <f>SUM(Table1[[#This Row],[Org Impact Score]:[Tools]])</f>
        <v>0</v>
      </c>
      <c r="AV135" s="45"/>
      <c r="AW135" s="34"/>
      <c r="AX135" s="34"/>
      <c r="AY135" s="34"/>
    </row>
    <row r="136" spans="1:51">
      <c r="A136" s="31" t="s">
        <v>786</v>
      </c>
      <c r="B136" s="32" t="s">
        <v>195</v>
      </c>
      <c r="C136" s="32" t="b">
        <v>0</v>
      </c>
      <c r="D136" s="32" t="s">
        <v>785</v>
      </c>
      <c r="E136" s="32" t="s">
        <v>890</v>
      </c>
      <c r="F136" s="32" t="s">
        <v>900</v>
      </c>
      <c r="G136" s="32"/>
      <c r="H136" s="65" t="s">
        <v>787</v>
      </c>
      <c r="I136" s="33"/>
      <c r="J136" s="33"/>
      <c r="K136" s="33"/>
      <c r="L136" s="34"/>
      <c r="M136" s="6"/>
      <c r="N136" s="6"/>
      <c r="O136" s="6"/>
      <c r="P136" s="36"/>
      <c r="Q136" s="34"/>
      <c r="R136" s="34"/>
      <c r="S136" s="34"/>
      <c r="T136" s="37"/>
      <c r="U136" s="37"/>
      <c r="V136" s="38">
        <f>DATEDIF(Table1[[#This Row],[Sponsor*]],Table1[[#This Row],[Start Date*]],"d")</f>
        <v>0</v>
      </c>
      <c r="W136" s="62" t="e">
        <f>DATEDIF([1]!Table1[[#This Row],[Start Date*]],[1]!Table1[[#This Row],[End Date*]],"d")</f>
        <v>#VALUE!</v>
      </c>
      <c r="X136" s="39"/>
      <c r="Y136" s="34"/>
      <c r="Z136" s="34"/>
      <c r="AC136" s="34"/>
      <c r="AE136" s="34"/>
      <c r="AF136" s="40"/>
      <c r="AG136" s="34"/>
      <c r="AH136" s="34"/>
      <c r="AI136" s="34"/>
      <c r="AJ136" s="34"/>
      <c r="AK136" s="34">
        <f>SUBTOTAL(9,Table1[[#This Row],[Up Next Priority]:[Campus]])</f>
        <v>0</v>
      </c>
      <c r="AL136" s="52"/>
      <c r="AM136" s="42"/>
      <c r="AN136" s="43"/>
      <c r="AO136" s="44"/>
      <c r="AP136" s="44"/>
      <c r="AQ136" s="44"/>
      <c r="AR136" s="44"/>
      <c r="AS136" s="51"/>
      <c r="AT136" s="44"/>
      <c r="AU136" s="66">
        <f>SUM(Table1[[#This Row],[Org Impact Score]:[Tools]])</f>
        <v>0</v>
      </c>
      <c r="AV136" s="45"/>
      <c r="AW136" s="34"/>
      <c r="AX136" s="34"/>
      <c r="AY136" s="34"/>
    </row>
    <row r="137" spans="1:51">
      <c r="A137" s="31" t="s">
        <v>783</v>
      </c>
      <c r="B137" s="32" t="s">
        <v>195</v>
      </c>
      <c r="C137" s="32" t="b">
        <v>0</v>
      </c>
      <c r="D137" s="32" t="s">
        <v>782</v>
      </c>
      <c r="E137" s="32" t="s">
        <v>890</v>
      </c>
      <c r="F137" s="32" t="s">
        <v>900</v>
      </c>
      <c r="G137" s="32"/>
      <c r="H137" s="65" t="s">
        <v>784</v>
      </c>
      <c r="I137" s="33"/>
      <c r="J137" s="33"/>
      <c r="K137" s="33"/>
      <c r="L137" s="34"/>
      <c r="M137" s="6"/>
      <c r="N137" s="6"/>
      <c r="O137" s="6"/>
      <c r="P137" s="36"/>
      <c r="Q137" s="34"/>
      <c r="R137" s="34"/>
      <c r="S137" s="34"/>
      <c r="T137" s="37"/>
      <c r="U137" s="37"/>
      <c r="V137" s="38">
        <f>DATEDIF(Table1[[#This Row],[Sponsor*]],Table1[[#This Row],[Start Date*]],"d")</f>
        <v>0</v>
      </c>
      <c r="W137" s="62" t="e">
        <f>DATEDIF([1]!Table1[[#This Row],[Start Date*]],[1]!Table1[[#This Row],[End Date*]],"d")</f>
        <v>#VALUE!</v>
      </c>
      <c r="X137" s="39"/>
      <c r="Y137" s="34"/>
      <c r="Z137" s="34"/>
      <c r="AC137" s="34"/>
      <c r="AE137" s="34"/>
      <c r="AF137" s="40"/>
      <c r="AG137" s="34"/>
      <c r="AH137" s="34"/>
      <c r="AI137" s="34"/>
      <c r="AJ137" s="34"/>
      <c r="AK137" s="34">
        <f>SUBTOTAL(9,Table1[[#This Row],[Up Next Priority]:[Campus]])</f>
        <v>0</v>
      </c>
      <c r="AL137" s="52"/>
      <c r="AM137" s="42"/>
      <c r="AN137" s="43"/>
      <c r="AO137" s="44"/>
      <c r="AP137" s="44"/>
      <c r="AQ137" s="44"/>
      <c r="AR137" s="44"/>
      <c r="AS137" s="51"/>
      <c r="AT137" s="44"/>
      <c r="AU137" s="66">
        <f>SUM(Table1[[#This Row],[Org Impact Score]:[Tools]])</f>
        <v>0</v>
      </c>
      <c r="AV137" s="45"/>
      <c r="AW137" s="34"/>
      <c r="AX137" s="34"/>
      <c r="AY137" s="34"/>
    </row>
    <row r="138" spans="1:51">
      <c r="A138" s="31" t="s">
        <v>780</v>
      </c>
      <c r="B138" s="32" t="s">
        <v>195</v>
      </c>
      <c r="C138" s="32" t="b">
        <v>0</v>
      </c>
      <c r="D138" s="32" t="s">
        <v>779</v>
      </c>
      <c r="E138" s="32" t="s">
        <v>890</v>
      </c>
      <c r="F138" s="32" t="s">
        <v>900</v>
      </c>
      <c r="G138" s="32"/>
      <c r="H138" s="65" t="s">
        <v>781</v>
      </c>
      <c r="I138" s="33"/>
      <c r="J138" s="33"/>
      <c r="K138" s="33"/>
      <c r="L138" s="34"/>
      <c r="M138" s="6"/>
      <c r="N138" s="6"/>
      <c r="O138" s="6"/>
      <c r="P138" s="36"/>
      <c r="Q138" s="34"/>
      <c r="R138" s="34"/>
      <c r="S138" s="34"/>
      <c r="T138" s="37"/>
      <c r="U138" s="37"/>
      <c r="V138" s="38">
        <f>DATEDIF(Table1[[#This Row],[Sponsor*]],Table1[[#This Row],[Start Date*]],"d")</f>
        <v>0</v>
      </c>
      <c r="W138" s="62" t="e">
        <f>DATEDIF([1]!Table1[[#This Row],[Start Date*]],[1]!Table1[[#This Row],[End Date*]],"d")</f>
        <v>#VALUE!</v>
      </c>
      <c r="X138" s="39"/>
      <c r="Y138" s="34"/>
      <c r="Z138" s="34"/>
      <c r="AC138" s="34"/>
      <c r="AE138" s="34"/>
      <c r="AF138" s="40"/>
      <c r="AG138" s="34"/>
      <c r="AH138" s="34"/>
      <c r="AI138" s="34"/>
      <c r="AJ138" s="34"/>
      <c r="AK138" s="34">
        <f>SUBTOTAL(9,Table1[[#This Row],[Up Next Priority]:[Campus]])</f>
        <v>0</v>
      </c>
      <c r="AL138" s="52"/>
      <c r="AM138" s="42"/>
      <c r="AN138" s="43"/>
      <c r="AO138" s="44"/>
      <c r="AP138" s="44"/>
      <c r="AQ138" s="44"/>
      <c r="AR138" s="44"/>
      <c r="AS138" s="51"/>
      <c r="AT138" s="44"/>
      <c r="AU138" s="66">
        <f>SUM(Table1[[#This Row],[Org Impact Score]:[Tools]])</f>
        <v>0</v>
      </c>
      <c r="AV138" s="45"/>
      <c r="AW138" s="34"/>
      <c r="AX138" s="34"/>
      <c r="AY138" s="34"/>
    </row>
    <row r="139" spans="1:51">
      <c r="A139" s="31" t="s">
        <v>777</v>
      </c>
      <c r="B139" s="32" t="s">
        <v>195</v>
      </c>
      <c r="C139" s="32" t="b">
        <v>0</v>
      </c>
      <c r="D139" s="32" t="s">
        <v>776</v>
      </c>
      <c r="E139" s="32" t="s">
        <v>890</v>
      </c>
      <c r="F139" s="32" t="s">
        <v>900</v>
      </c>
      <c r="G139" s="32"/>
      <c r="H139" s="65" t="s">
        <v>778</v>
      </c>
      <c r="I139" s="33"/>
      <c r="J139" s="33"/>
      <c r="K139" s="33"/>
      <c r="L139" s="34"/>
      <c r="M139" s="6"/>
      <c r="N139" s="6"/>
      <c r="O139" s="6"/>
      <c r="P139" s="36"/>
      <c r="Q139" s="34"/>
      <c r="R139" s="34"/>
      <c r="S139" s="34"/>
      <c r="T139" s="37"/>
      <c r="U139" s="37"/>
      <c r="V139" s="38">
        <f>DATEDIF(Table1[[#This Row],[Sponsor*]],Table1[[#This Row],[Start Date*]],"d")</f>
        <v>0</v>
      </c>
      <c r="W139" s="62" t="e">
        <f>DATEDIF([1]!Table1[[#This Row],[Start Date*]],[1]!Table1[[#This Row],[End Date*]],"d")</f>
        <v>#VALUE!</v>
      </c>
      <c r="X139" s="39"/>
      <c r="Y139" s="34"/>
      <c r="Z139" s="34"/>
      <c r="AC139" s="34"/>
      <c r="AE139" s="34"/>
      <c r="AF139" s="40"/>
      <c r="AG139" s="34"/>
      <c r="AH139" s="34"/>
      <c r="AI139" s="34"/>
      <c r="AJ139" s="34"/>
      <c r="AK139" s="34">
        <f>SUBTOTAL(9,Table1[[#This Row],[Up Next Priority]:[Campus]])</f>
        <v>0</v>
      </c>
      <c r="AL139" s="52"/>
      <c r="AM139" s="42"/>
      <c r="AN139" s="43"/>
      <c r="AO139" s="44"/>
      <c r="AP139" s="44"/>
      <c r="AQ139" s="44"/>
      <c r="AR139" s="44"/>
      <c r="AS139" s="51"/>
      <c r="AT139" s="44"/>
      <c r="AU139" s="66">
        <f>SUM(Table1[[#This Row],[Org Impact Score]:[Tools]])</f>
        <v>0</v>
      </c>
      <c r="AV139" s="45"/>
      <c r="AW139" s="34"/>
      <c r="AX139" s="34"/>
      <c r="AY139" s="34"/>
    </row>
    <row r="140" spans="1:51">
      <c r="A140" s="31" t="s">
        <v>774</v>
      </c>
      <c r="B140" s="32" t="s">
        <v>195</v>
      </c>
      <c r="C140" s="32" t="b">
        <v>0</v>
      </c>
      <c r="D140" s="32" t="s">
        <v>773</v>
      </c>
      <c r="E140" s="32" t="s">
        <v>890</v>
      </c>
      <c r="F140" s="32" t="s">
        <v>900</v>
      </c>
      <c r="G140" s="32"/>
      <c r="H140" s="65" t="s">
        <v>775</v>
      </c>
      <c r="I140" s="33"/>
      <c r="J140" s="33"/>
      <c r="K140" s="33"/>
      <c r="L140" s="34"/>
      <c r="M140" s="6"/>
      <c r="N140" s="6"/>
      <c r="O140" s="6"/>
      <c r="P140" s="36"/>
      <c r="Q140" s="34"/>
      <c r="R140" s="34"/>
      <c r="S140" s="34"/>
      <c r="T140" s="37"/>
      <c r="U140" s="37"/>
      <c r="V140" s="38">
        <f>DATEDIF(Table1[[#This Row],[Sponsor*]],Table1[[#This Row],[Start Date*]],"d")</f>
        <v>0</v>
      </c>
      <c r="W140" s="62" t="e">
        <f>DATEDIF([1]!Table1[[#This Row],[Start Date*]],[1]!Table1[[#This Row],[End Date*]],"d")</f>
        <v>#VALUE!</v>
      </c>
      <c r="X140" s="39"/>
      <c r="Y140" s="34"/>
      <c r="Z140" s="34"/>
      <c r="AC140" s="34"/>
      <c r="AE140" s="34"/>
      <c r="AF140" s="40"/>
      <c r="AG140" s="34"/>
      <c r="AH140" s="34"/>
      <c r="AI140" s="34"/>
      <c r="AJ140" s="34"/>
      <c r="AK140" s="34">
        <f>SUBTOTAL(9,Table1[[#This Row],[Up Next Priority]:[Campus]])</f>
        <v>0</v>
      </c>
      <c r="AL140" s="52"/>
      <c r="AM140" s="42"/>
      <c r="AN140" s="43"/>
      <c r="AO140" s="44"/>
      <c r="AP140" s="44"/>
      <c r="AQ140" s="44"/>
      <c r="AR140" s="44"/>
      <c r="AS140" s="51"/>
      <c r="AT140" s="44"/>
      <c r="AU140" s="66">
        <f>SUM(Table1[[#This Row],[Org Impact Score]:[Tools]])</f>
        <v>0</v>
      </c>
      <c r="AV140" s="45"/>
      <c r="AW140" s="34"/>
      <c r="AX140" s="34"/>
      <c r="AY140" s="34"/>
    </row>
    <row r="141" spans="1:51">
      <c r="A141" s="31" t="s">
        <v>771</v>
      </c>
      <c r="B141" s="32" t="s">
        <v>195</v>
      </c>
      <c r="C141" s="32" t="b">
        <v>0</v>
      </c>
      <c r="D141" s="32" t="s">
        <v>770</v>
      </c>
      <c r="E141" s="32" t="s">
        <v>890</v>
      </c>
      <c r="F141" s="32" t="s">
        <v>900</v>
      </c>
      <c r="G141" s="32"/>
      <c r="H141" s="65" t="s">
        <v>772</v>
      </c>
      <c r="I141" s="33"/>
      <c r="J141" s="33"/>
      <c r="K141" s="33"/>
      <c r="L141" s="34"/>
      <c r="M141" s="6"/>
      <c r="N141" s="6"/>
      <c r="O141" s="6"/>
      <c r="P141" s="36"/>
      <c r="Q141" s="34"/>
      <c r="R141" s="34"/>
      <c r="S141" s="34"/>
      <c r="T141" s="37"/>
      <c r="U141" s="37"/>
      <c r="V141" s="38">
        <f>DATEDIF(Table1[[#This Row],[Sponsor*]],Table1[[#This Row],[Start Date*]],"d")</f>
        <v>0</v>
      </c>
      <c r="W141" s="62" t="e">
        <f>DATEDIF([1]!Table1[[#This Row],[Start Date*]],[1]!Table1[[#This Row],[End Date*]],"d")</f>
        <v>#VALUE!</v>
      </c>
      <c r="X141" s="39"/>
      <c r="Y141" s="34"/>
      <c r="Z141" s="34"/>
      <c r="AC141" s="34"/>
      <c r="AE141" s="34"/>
      <c r="AF141" s="40"/>
      <c r="AG141" s="34"/>
      <c r="AH141" s="34"/>
      <c r="AI141" s="34"/>
      <c r="AJ141" s="34"/>
      <c r="AK141" s="34">
        <f>SUBTOTAL(9,Table1[[#This Row],[Up Next Priority]:[Campus]])</f>
        <v>0</v>
      </c>
      <c r="AL141" s="52"/>
      <c r="AM141" s="42"/>
      <c r="AN141" s="43"/>
      <c r="AO141" s="44"/>
      <c r="AP141" s="44"/>
      <c r="AQ141" s="44"/>
      <c r="AR141" s="44"/>
      <c r="AS141" s="51"/>
      <c r="AT141" s="44"/>
      <c r="AU141" s="66">
        <f>SUM(Table1[[#This Row],[Org Impact Score]:[Tools]])</f>
        <v>0</v>
      </c>
      <c r="AV141" s="45"/>
      <c r="AW141" s="34"/>
      <c r="AX141" s="34"/>
      <c r="AY141" s="34"/>
    </row>
    <row r="142" spans="1:51">
      <c r="A142" s="31" t="s">
        <v>768</v>
      </c>
      <c r="B142" s="32" t="s">
        <v>195</v>
      </c>
      <c r="C142" s="32" t="b">
        <v>1</v>
      </c>
      <c r="D142" s="32" t="s">
        <v>767</v>
      </c>
      <c r="E142" s="32" t="s">
        <v>890</v>
      </c>
      <c r="F142" s="32" t="s">
        <v>900</v>
      </c>
      <c r="G142" s="32"/>
      <c r="H142" s="65" t="s">
        <v>769</v>
      </c>
      <c r="I142" s="33"/>
      <c r="J142" s="33"/>
      <c r="K142" s="33"/>
      <c r="L142" s="34"/>
      <c r="M142" s="6"/>
      <c r="N142" s="6"/>
      <c r="O142" s="6"/>
      <c r="P142" s="36"/>
      <c r="Q142" s="34"/>
      <c r="R142" s="34"/>
      <c r="S142" s="34"/>
      <c r="T142" s="37"/>
      <c r="U142" s="37"/>
      <c r="V142" s="38">
        <f>DATEDIF(Table1[[#This Row],[Sponsor*]],Table1[[#This Row],[Start Date*]],"d")</f>
        <v>0</v>
      </c>
      <c r="W142" s="62" t="e">
        <f>DATEDIF([1]!Table1[[#This Row],[Start Date*]],[1]!Table1[[#This Row],[End Date*]],"d")</f>
        <v>#VALUE!</v>
      </c>
      <c r="X142" s="39"/>
      <c r="Y142" s="34"/>
      <c r="Z142" s="34"/>
      <c r="AC142" s="34"/>
      <c r="AE142" s="34"/>
      <c r="AF142" s="40"/>
      <c r="AG142" s="34"/>
      <c r="AH142" s="34"/>
      <c r="AI142" s="34"/>
      <c r="AJ142" s="34"/>
      <c r="AK142" s="34">
        <f>SUBTOTAL(9,Table1[[#This Row],[Up Next Priority]:[Campus]])</f>
        <v>0</v>
      </c>
      <c r="AL142" s="52"/>
      <c r="AM142" s="42"/>
      <c r="AN142" s="43"/>
      <c r="AO142" s="44"/>
      <c r="AP142" s="44"/>
      <c r="AQ142" s="44"/>
      <c r="AR142" s="44"/>
      <c r="AS142" s="51"/>
      <c r="AT142" s="44"/>
      <c r="AU142" s="66">
        <f>SUM(Table1[[#This Row],[Org Impact Score]:[Tools]])</f>
        <v>0</v>
      </c>
      <c r="AV142" s="45"/>
      <c r="AW142" s="34"/>
      <c r="AX142" s="34"/>
      <c r="AY142" s="34"/>
    </row>
    <row r="143" spans="1:51">
      <c r="A143" s="31" t="s">
        <v>765</v>
      </c>
      <c r="B143" s="32" t="s">
        <v>195</v>
      </c>
      <c r="C143" s="32" t="b">
        <v>0</v>
      </c>
      <c r="D143" s="32" t="s">
        <v>764</v>
      </c>
      <c r="E143" s="32" t="s">
        <v>890</v>
      </c>
      <c r="F143" s="32" t="s">
        <v>900</v>
      </c>
      <c r="G143" s="32"/>
      <c r="H143" s="65" t="s">
        <v>766</v>
      </c>
      <c r="I143" s="33"/>
      <c r="J143" s="33"/>
      <c r="K143" s="33"/>
      <c r="L143" s="34"/>
      <c r="M143" s="6"/>
      <c r="N143" s="6"/>
      <c r="O143" s="6"/>
      <c r="P143" s="36"/>
      <c r="Q143" s="34"/>
      <c r="R143" s="34"/>
      <c r="S143" s="34"/>
      <c r="T143" s="37"/>
      <c r="U143" s="37"/>
      <c r="V143" s="38">
        <f>DATEDIF(Table1[[#This Row],[Sponsor*]],Table1[[#This Row],[Start Date*]],"d")</f>
        <v>0</v>
      </c>
      <c r="W143" s="62" t="e">
        <f>DATEDIF([1]!Table1[[#This Row],[Start Date*]],[1]!Table1[[#This Row],[End Date*]],"d")</f>
        <v>#VALUE!</v>
      </c>
      <c r="X143" s="39"/>
      <c r="Y143" s="34"/>
      <c r="Z143" s="34"/>
      <c r="AC143" s="34"/>
      <c r="AE143" s="34"/>
      <c r="AF143" s="40"/>
      <c r="AG143" s="34"/>
      <c r="AH143" s="34"/>
      <c r="AI143" s="34"/>
      <c r="AJ143" s="34"/>
      <c r="AK143" s="34">
        <f>SUBTOTAL(9,Table1[[#This Row],[Up Next Priority]:[Campus]])</f>
        <v>0</v>
      </c>
      <c r="AL143" s="52"/>
      <c r="AM143" s="42"/>
      <c r="AN143" s="43"/>
      <c r="AO143" s="44"/>
      <c r="AP143" s="44"/>
      <c r="AQ143" s="44"/>
      <c r="AR143" s="44"/>
      <c r="AS143" s="51"/>
      <c r="AT143" s="44"/>
      <c r="AU143" s="66">
        <f>SUM(Table1[[#This Row],[Org Impact Score]:[Tools]])</f>
        <v>0</v>
      </c>
      <c r="AV143" s="45"/>
      <c r="AW143" s="34"/>
      <c r="AX143" s="34"/>
      <c r="AY143" s="34"/>
    </row>
    <row r="144" spans="1:51">
      <c r="A144" s="31" t="s">
        <v>762</v>
      </c>
      <c r="B144" s="32" t="s">
        <v>195</v>
      </c>
      <c r="C144" s="32" t="b">
        <v>0</v>
      </c>
      <c r="D144" s="32" t="s">
        <v>761</v>
      </c>
      <c r="E144" s="32" t="s">
        <v>890</v>
      </c>
      <c r="F144" s="32" t="s">
        <v>900</v>
      </c>
      <c r="G144" s="32"/>
      <c r="H144" s="65" t="s">
        <v>763</v>
      </c>
      <c r="I144" s="33"/>
      <c r="J144" s="33"/>
      <c r="K144" s="33"/>
      <c r="L144" s="34"/>
      <c r="M144" s="6"/>
      <c r="N144" s="6"/>
      <c r="O144" s="6"/>
      <c r="P144" s="36"/>
      <c r="Q144" s="34"/>
      <c r="R144" s="34"/>
      <c r="S144" s="34"/>
      <c r="T144" s="37"/>
      <c r="U144" s="37"/>
      <c r="V144" s="38">
        <f>DATEDIF(Table1[[#This Row],[Sponsor*]],Table1[[#This Row],[Start Date*]],"d")</f>
        <v>0</v>
      </c>
      <c r="W144" s="62" t="e">
        <f>DATEDIF([1]!Table1[[#This Row],[Start Date*]],[1]!Table1[[#This Row],[End Date*]],"d")</f>
        <v>#VALUE!</v>
      </c>
      <c r="X144" s="39"/>
      <c r="Y144" s="34"/>
      <c r="Z144" s="34"/>
      <c r="AC144" s="34"/>
      <c r="AE144" s="34"/>
      <c r="AF144" s="40"/>
      <c r="AG144" s="34"/>
      <c r="AH144" s="34"/>
      <c r="AI144" s="34"/>
      <c r="AJ144" s="34"/>
      <c r="AK144" s="34">
        <f>SUBTOTAL(9,Table1[[#This Row],[Up Next Priority]:[Campus]])</f>
        <v>0</v>
      </c>
      <c r="AL144" s="52"/>
      <c r="AM144" s="42"/>
      <c r="AN144" s="43"/>
      <c r="AO144" s="44"/>
      <c r="AP144" s="44"/>
      <c r="AQ144" s="44"/>
      <c r="AR144" s="44"/>
      <c r="AS144" s="51"/>
      <c r="AT144" s="44"/>
      <c r="AU144" s="66">
        <f>SUM(Table1[[#This Row],[Org Impact Score]:[Tools]])</f>
        <v>0</v>
      </c>
      <c r="AV144" s="45"/>
      <c r="AW144" s="34"/>
      <c r="AX144" s="34"/>
      <c r="AY144" s="34"/>
    </row>
    <row r="145" spans="1:51">
      <c r="A145" s="31" t="s">
        <v>759</v>
      </c>
      <c r="B145" s="32" t="s">
        <v>195</v>
      </c>
      <c r="C145" s="32" t="b">
        <v>0</v>
      </c>
      <c r="D145" s="32" t="s">
        <v>758</v>
      </c>
      <c r="E145" s="32" t="s">
        <v>890</v>
      </c>
      <c r="F145" s="32" t="s">
        <v>900</v>
      </c>
      <c r="G145" s="32"/>
      <c r="H145" s="65" t="s">
        <v>760</v>
      </c>
      <c r="I145" s="33"/>
      <c r="J145" s="33"/>
      <c r="K145" s="33"/>
      <c r="L145" s="34"/>
      <c r="M145" s="6"/>
      <c r="N145" s="6"/>
      <c r="O145" s="6"/>
      <c r="P145" s="36"/>
      <c r="Q145" s="34"/>
      <c r="R145" s="34"/>
      <c r="S145" s="34"/>
      <c r="T145" s="37"/>
      <c r="U145" s="37"/>
      <c r="V145" s="38">
        <f>DATEDIF(Table1[[#This Row],[Sponsor*]],Table1[[#This Row],[Start Date*]],"d")</f>
        <v>0</v>
      </c>
      <c r="W145" s="62" t="e">
        <f>DATEDIF([1]!Table1[[#This Row],[Start Date*]],[1]!Table1[[#This Row],[End Date*]],"d")</f>
        <v>#VALUE!</v>
      </c>
      <c r="X145" s="39"/>
      <c r="Y145" s="34"/>
      <c r="Z145" s="34"/>
      <c r="AC145" s="34"/>
      <c r="AE145" s="34"/>
      <c r="AF145" s="40"/>
      <c r="AG145" s="34"/>
      <c r="AH145" s="34"/>
      <c r="AI145" s="34"/>
      <c r="AJ145" s="34"/>
      <c r="AK145" s="34">
        <f>SUBTOTAL(9,Table1[[#This Row],[Up Next Priority]:[Campus]])</f>
        <v>0</v>
      </c>
      <c r="AL145" s="52"/>
      <c r="AM145" s="42"/>
      <c r="AN145" s="43"/>
      <c r="AO145" s="44"/>
      <c r="AP145" s="44"/>
      <c r="AQ145" s="44"/>
      <c r="AR145" s="44"/>
      <c r="AS145" s="51"/>
      <c r="AT145" s="44"/>
      <c r="AU145" s="66">
        <f>SUM(Table1[[#This Row],[Org Impact Score]:[Tools]])</f>
        <v>0</v>
      </c>
      <c r="AV145" s="45"/>
      <c r="AW145" s="34"/>
      <c r="AX145" s="34"/>
      <c r="AY145" s="34"/>
    </row>
    <row r="146" spans="1:51">
      <c r="A146" s="31" t="s">
        <v>756</v>
      </c>
      <c r="B146" s="32" t="s">
        <v>195</v>
      </c>
      <c r="C146" s="32" t="b">
        <v>0</v>
      </c>
      <c r="D146" s="32" t="s">
        <v>755</v>
      </c>
      <c r="E146" s="32" t="s">
        <v>890</v>
      </c>
      <c r="F146" s="32" t="s">
        <v>900</v>
      </c>
      <c r="G146" s="32"/>
      <c r="H146" s="65" t="s">
        <v>757</v>
      </c>
      <c r="I146" s="33"/>
      <c r="J146" s="33"/>
      <c r="K146" s="33"/>
      <c r="L146" s="34"/>
      <c r="M146" s="6"/>
      <c r="N146" s="6"/>
      <c r="O146" s="6"/>
      <c r="P146" s="36"/>
      <c r="Q146" s="34"/>
      <c r="R146" s="34"/>
      <c r="S146" s="34"/>
      <c r="T146" s="37"/>
      <c r="U146" s="37"/>
      <c r="V146" s="38">
        <f>DATEDIF(Table1[[#This Row],[Sponsor*]],Table1[[#This Row],[Start Date*]],"d")</f>
        <v>0</v>
      </c>
      <c r="W146" s="62" t="e">
        <f>DATEDIF([1]!Table1[[#This Row],[Start Date*]],[1]!Table1[[#This Row],[End Date*]],"d")</f>
        <v>#VALUE!</v>
      </c>
      <c r="X146" s="39"/>
      <c r="Y146" s="34"/>
      <c r="Z146" s="34"/>
      <c r="AC146" s="34"/>
      <c r="AE146" s="34"/>
      <c r="AF146" s="40"/>
      <c r="AG146" s="34"/>
      <c r="AH146" s="34"/>
      <c r="AI146" s="34"/>
      <c r="AJ146" s="34"/>
      <c r="AK146" s="34">
        <f>SUBTOTAL(9,Table1[[#This Row],[Up Next Priority]:[Campus]])</f>
        <v>0</v>
      </c>
      <c r="AL146" s="52"/>
      <c r="AM146" s="42"/>
      <c r="AN146" s="43"/>
      <c r="AO146" s="44"/>
      <c r="AP146" s="44"/>
      <c r="AQ146" s="44"/>
      <c r="AR146" s="44"/>
      <c r="AS146" s="51"/>
      <c r="AT146" s="44"/>
      <c r="AU146" s="66">
        <f>SUM(Table1[[#This Row],[Org Impact Score]:[Tools]])</f>
        <v>0</v>
      </c>
      <c r="AV146" s="45"/>
      <c r="AW146" s="34"/>
      <c r="AX146" s="34"/>
      <c r="AY146" s="34"/>
    </row>
    <row r="147" spans="1:51">
      <c r="A147" s="31" t="s">
        <v>753</v>
      </c>
      <c r="B147" s="32" t="s">
        <v>195</v>
      </c>
      <c r="C147" s="32" t="b">
        <v>0</v>
      </c>
      <c r="D147" s="56" t="s">
        <v>752</v>
      </c>
      <c r="E147" s="32" t="s">
        <v>890</v>
      </c>
      <c r="F147" s="32" t="s">
        <v>900</v>
      </c>
      <c r="G147" s="32"/>
      <c r="H147" s="65" t="s">
        <v>754</v>
      </c>
      <c r="I147" s="33"/>
      <c r="J147" s="33"/>
      <c r="K147" s="33"/>
      <c r="L147" s="34"/>
      <c r="M147" s="6"/>
      <c r="N147" s="6"/>
      <c r="O147" s="6"/>
      <c r="P147" s="36"/>
      <c r="Q147" s="34"/>
      <c r="R147" s="34"/>
      <c r="S147" s="34"/>
      <c r="T147" s="37"/>
      <c r="U147" s="37"/>
      <c r="V147" s="38">
        <f>DATEDIF(Table1[[#This Row],[Sponsor*]],Table1[[#This Row],[Start Date*]],"d")</f>
        <v>0</v>
      </c>
      <c r="W147" s="62" t="e">
        <f>DATEDIF([1]!Table1[[#This Row],[Start Date*]],[1]!Table1[[#This Row],[End Date*]],"d")</f>
        <v>#VALUE!</v>
      </c>
      <c r="X147" s="39"/>
      <c r="Y147" s="34"/>
      <c r="Z147" s="34"/>
      <c r="AC147" s="34"/>
      <c r="AE147" s="34"/>
      <c r="AF147" s="40"/>
      <c r="AG147" s="34"/>
      <c r="AH147" s="34"/>
      <c r="AI147" s="34"/>
      <c r="AJ147" s="34"/>
      <c r="AK147" s="34">
        <f>SUBTOTAL(9,Table1[[#This Row],[Up Next Priority]:[Campus]])</f>
        <v>0</v>
      </c>
      <c r="AL147" s="52"/>
      <c r="AM147" s="42"/>
      <c r="AN147" s="43"/>
      <c r="AO147" s="44"/>
      <c r="AP147" s="44"/>
      <c r="AQ147" s="44"/>
      <c r="AR147" s="44"/>
      <c r="AS147" s="51"/>
      <c r="AT147" s="44"/>
      <c r="AU147" s="66">
        <f>SUM(Table1[[#This Row],[Org Impact Score]:[Tools]])</f>
        <v>0</v>
      </c>
      <c r="AV147" s="45"/>
      <c r="AW147" s="34"/>
      <c r="AX147" s="34"/>
      <c r="AY147" s="34"/>
    </row>
    <row r="148" spans="1:51">
      <c r="A148" s="31" t="s">
        <v>750</v>
      </c>
      <c r="B148" s="32" t="s">
        <v>195</v>
      </c>
      <c r="C148" s="32" t="b">
        <v>0</v>
      </c>
      <c r="D148" s="32" t="s">
        <v>749</v>
      </c>
      <c r="E148" s="32" t="s">
        <v>890</v>
      </c>
      <c r="F148" s="32" t="s">
        <v>900</v>
      </c>
      <c r="G148" s="32"/>
      <c r="H148" s="65" t="s">
        <v>751</v>
      </c>
      <c r="I148" s="33"/>
      <c r="J148" s="33"/>
      <c r="K148" s="33"/>
      <c r="L148" s="34"/>
      <c r="M148" s="6"/>
      <c r="N148" s="6"/>
      <c r="O148" s="6"/>
      <c r="P148" s="36"/>
      <c r="Q148" s="34"/>
      <c r="R148" s="34"/>
      <c r="S148" s="34"/>
      <c r="T148" s="37"/>
      <c r="U148" s="37"/>
      <c r="V148" s="38">
        <f>DATEDIF(Table1[[#This Row],[Sponsor*]],Table1[[#This Row],[Start Date*]],"d")</f>
        <v>0</v>
      </c>
      <c r="W148" s="62" t="e">
        <f>DATEDIF([1]!Table1[[#This Row],[Start Date*]],[1]!Table1[[#This Row],[End Date*]],"d")</f>
        <v>#VALUE!</v>
      </c>
      <c r="X148" s="39"/>
      <c r="Y148" s="34"/>
      <c r="Z148" s="34"/>
      <c r="AC148" s="34"/>
      <c r="AE148" s="34"/>
      <c r="AF148" s="40"/>
      <c r="AG148" s="34"/>
      <c r="AH148" s="34"/>
      <c r="AI148" s="34"/>
      <c r="AJ148" s="34"/>
      <c r="AK148" s="34">
        <f>SUBTOTAL(9,Table1[[#This Row],[Up Next Priority]:[Campus]])</f>
        <v>0</v>
      </c>
      <c r="AL148" s="52"/>
      <c r="AM148" s="42"/>
      <c r="AN148" s="43"/>
      <c r="AO148" s="44"/>
      <c r="AP148" s="44"/>
      <c r="AQ148" s="44"/>
      <c r="AR148" s="44"/>
      <c r="AS148" s="51"/>
      <c r="AT148" s="44"/>
      <c r="AU148" s="66">
        <f>SUM(Table1[[#This Row],[Org Impact Score]:[Tools]])</f>
        <v>0</v>
      </c>
      <c r="AV148" s="45"/>
      <c r="AW148" s="34"/>
      <c r="AX148" s="34"/>
      <c r="AY148" s="34"/>
    </row>
    <row r="149" spans="1:51">
      <c r="A149" s="31" t="s">
        <v>747</v>
      </c>
      <c r="B149" s="32" t="s">
        <v>195</v>
      </c>
      <c r="C149" s="32" t="b">
        <v>0</v>
      </c>
      <c r="D149" s="32" t="s">
        <v>746</v>
      </c>
      <c r="E149" s="32" t="s">
        <v>890</v>
      </c>
      <c r="F149" s="32" t="s">
        <v>900</v>
      </c>
      <c r="G149" s="32"/>
      <c r="H149" s="65" t="s">
        <v>748</v>
      </c>
      <c r="I149" s="33"/>
      <c r="J149" s="33"/>
      <c r="K149" s="33"/>
      <c r="L149" s="34"/>
      <c r="M149" s="6"/>
      <c r="N149" s="6"/>
      <c r="O149" s="6"/>
      <c r="P149" s="36"/>
      <c r="Q149" s="34"/>
      <c r="R149" s="34"/>
      <c r="S149" s="34"/>
      <c r="T149" s="37"/>
      <c r="U149" s="37"/>
      <c r="V149" s="38">
        <f>DATEDIF(Table1[[#This Row],[Sponsor*]],Table1[[#This Row],[Start Date*]],"d")</f>
        <v>0</v>
      </c>
      <c r="W149" s="62" t="e">
        <f>DATEDIF([1]!Table1[[#This Row],[Start Date*]],[1]!Table1[[#This Row],[End Date*]],"d")</f>
        <v>#VALUE!</v>
      </c>
      <c r="X149" s="39"/>
      <c r="Y149" s="34"/>
      <c r="Z149" s="34"/>
      <c r="AC149" s="34"/>
      <c r="AE149" s="34"/>
      <c r="AF149" s="40"/>
      <c r="AG149" s="34"/>
      <c r="AH149" s="34"/>
      <c r="AI149" s="34"/>
      <c r="AJ149" s="34"/>
      <c r="AK149" s="34">
        <f>SUBTOTAL(9,Table1[[#This Row],[Up Next Priority]:[Campus]])</f>
        <v>0</v>
      </c>
      <c r="AL149" s="52"/>
      <c r="AM149" s="42"/>
      <c r="AN149" s="43"/>
      <c r="AO149" s="44"/>
      <c r="AP149" s="44"/>
      <c r="AQ149" s="44"/>
      <c r="AR149" s="44"/>
      <c r="AS149" s="51"/>
      <c r="AT149" s="44"/>
      <c r="AU149" s="66">
        <f>SUM(Table1[[#This Row],[Org Impact Score]:[Tools]])</f>
        <v>0</v>
      </c>
      <c r="AV149" s="45"/>
      <c r="AW149" s="34"/>
      <c r="AX149" s="34"/>
      <c r="AY149" s="34"/>
    </row>
    <row r="150" spans="1:51">
      <c r="A150" s="31" t="s">
        <v>744</v>
      </c>
      <c r="B150" s="32" t="s">
        <v>195</v>
      </c>
      <c r="C150" s="32" t="b">
        <v>0</v>
      </c>
      <c r="D150" s="32" t="s">
        <v>743</v>
      </c>
      <c r="E150" s="32" t="s">
        <v>890</v>
      </c>
      <c r="F150" s="32" t="s">
        <v>900</v>
      </c>
      <c r="G150" s="32"/>
      <c r="H150" s="65" t="s">
        <v>745</v>
      </c>
      <c r="I150" s="33"/>
      <c r="J150" s="33"/>
      <c r="K150" s="33"/>
      <c r="L150" s="34"/>
      <c r="M150" s="6"/>
      <c r="N150" s="6"/>
      <c r="O150" s="6"/>
      <c r="P150" s="36"/>
      <c r="Q150" s="34"/>
      <c r="R150" s="34"/>
      <c r="S150" s="34"/>
      <c r="T150" s="37"/>
      <c r="U150" s="37"/>
      <c r="V150" s="38">
        <f>DATEDIF(Table1[[#This Row],[Sponsor*]],Table1[[#This Row],[Start Date*]],"d")</f>
        <v>0</v>
      </c>
      <c r="W150" s="62" t="e">
        <f>DATEDIF([1]!Table1[[#This Row],[Start Date*]],[1]!Table1[[#This Row],[End Date*]],"d")</f>
        <v>#VALUE!</v>
      </c>
      <c r="X150" s="39"/>
      <c r="Y150" s="34"/>
      <c r="Z150" s="34"/>
      <c r="AC150" s="34"/>
      <c r="AE150" s="34"/>
      <c r="AF150" s="40"/>
      <c r="AG150" s="34"/>
      <c r="AH150" s="34"/>
      <c r="AI150" s="34"/>
      <c r="AJ150" s="34"/>
      <c r="AK150" s="34">
        <f>SUBTOTAL(9,Table1[[#This Row],[Up Next Priority]:[Campus]])</f>
        <v>0</v>
      </c>
      <c r="AL150" s="52"/>
      <c r="AM150" s="42"/>
      <c r="AN150" s="43"/>
      <c r="AO150" s="44"/>
      <c r="AP150" s="44"/>
      <c r="AQ150" s="44"/>
      <c r="AR150" s="44"/>
      <c r="AS150" s="51"/>
      <c r="AT150" s="44"/>
      <c r="AU150" s="66">
        <f>SUM(Table1[[#This Row],[Org Impact Score]:[Tools]])</f>
        <v>0</v>
      </c>
      <c r="AV150" s="45"/>
      <c r="AW150" s="34"/>
      <c r="AX150" s="34"/>
      <c r="AY150" s="34"/>
    </row>
    <row r="151" spans="1:51">
      <c r="A151" s="31" t="s">
        <v>741</v>
      </c>
      <c r="B151" s="32" t="s">
        <v>195</v>
      </c>
      <c r="C151" s="32" t="b">
        <v>0</v>
      </c>
      <c r="D151" s="32" t="s">
        <v>740</v>
      </c>
      <c r="E151" s="32" t="s">
        <v>890</v>
      </c>
      <c r="F151" s="32" t="s">
        <v>900</v>
      </c>
      <c r="G151" s="32"/>
      <c r="H151" s="65" t="s">
        <v>742</v>
      </c>
      <c r="I151" s="33"/>
      <c r="J151" s="33"/>
      <c r="K151" s="33"/>
      <c r="L151" s="34"/>
      <c r="M151" s="6"/>
      <c r="N151" s="6"/>
      <c r="O151" s="6"/>
      <c r="P151" s="36"/>
      <c r="Q151" s="34"/>
      <c r="R151" s="34"/>
      <c r="S151" s="34"/>
      <c r="T151" s="37"/>
      <c r="U151" s="37"/>
      <c r="V151" s="38">
        <f>DATEDIF(Table1[[#This Row],[Sponsor*]],Table1[[#This Row],[Start Date*]],"d")</f>
        <v>0</v>
      </c>
      <c r="W151" s="62" t="e">
        <f>DATEDIF([1]!Table1[[#This Row],[Start Date*]],[1]!Table1[[#This Row],[End Date*]],"d")</f>
        <v>#VALUE!</v>
      </c>
      <c r="X151" s="39"/>
      <c r="Y151" s="34"/>
      <c r="Z151" s="34"/>
      <c r="AC151" s="34"/>
      <c r="AE151" s="34"/>
      <c r="AF151" s="40"/>
      <c r="AG151" s="34"/>
      <c r="AH151" s="34"/>
      <c r="AI151" s="34"/>
      <c r="AJ151" s="34"/>
      <c r="AK151" s="34">
        <f>SUBTOTAL(9,Table1[[#This Row],[Up Next Priority]:[Campus]])</f>
        <v>0</v>
      </c>
      <c r="AL151" s="52"/>
      <c r="AM151" s="42"/>
      <c r="AN151" s="43"/>
      <c r="AO151" s="44"/>
      <c r="AP151" s="44"/>
      <c r="AQ151" s="44"/>
      <c r="AR151" s="44"/>
      <c r="AS151" s="51"/>
      <c r="AT151" s="44"/>
      <c r="AU151" s="66">
        <f>SUM(Table1[[#This Row],[Org Impact Score]:[Tools]])</f>
        <v>0</v>
      </c>
      <c r="AV151" s="45"/>
      <c r="AW151" s="34"/>
      <c r="AX151" s="34"/>
      <c r="AY151" s="34"/>
    </row>
    <row r="152" spans="1:51">
      <c r="A152" s="31" t="s">
        <v>738</v>
      </c>
      <c r="B152" s="32" t="s">
        <v>195</v>
      </c>
      <c r="C152" s="32" t="b">
        <v>0</v>
      </c>
      <c r="D152" s="32" t="s">
        <v>737</v>
      </c>
      <c r="E152" s="32" t="s">
        <v>890</v>
      </c>
      <c r="F152" s="32" t="s">
        <v>900</v>
      </c>
      <c r="G152" s="32"/>
      <c r="H152" s="65" t="s">
        <v>739</v>
      </c>
      <c r="I152" s="33"/>
      <c r="J152" s="33"/>
      <c r="K152" s="33"/>
      <c r="L152" s="34"/>
      <c r="M152" s="6"/>
      <c r="N152" s="6"/>
      <c r="O152" s="6"/>
      <c r="P152" s="36"/>
      <c r="Q152" s="34"/>
      <c r="R152" s="34"/>
      <c r="S152" s="34"/>
      <c r="T152" s="37"/>
      <c r="U152" s="37"/>
      <c r="V152" s="38">
        <f>DATEDIF(Table1[[#This Row],[Sponsor*]],Table1[[#This Row],[Start Date*]],"d")</f>
        <v>0</v>
      </c>
      <c r="W152" s="62" t="e">
        <f>DATEDIF([1]!Table1[[#This Row],[Start Date*]],[1]!Table1[[#This Row],[End Date*]],"d")</f>
        <v>#VALUE!</v>
      </c>
      <c r="X152" s="39"/>
      <c r="Y152" s="34"/>
      <c r="Z152" s="34"/>
      <c r="AC152" s="34"/>
      <c r="AE152" s="34"/>
      <c r="AF152" s="40"/>
      <c r="AG152" s="34"/>
      <c r="AH152" s="34"/>
      <c r="AI152" s="34"/>
      <c r="AJ152" s="34"/>
      <c r="AK152" s="34">
        <f>SUBTOTAL(9,Table1[[#This Row],[Up Next Priority]:[Campus]])</f>
        <v>0</v>
      </c>
      <c r="AL152" s="52"/>
      <c r="AM152" s="42"/>
      <c r="AN152" s="43"/>
      <c r="AO152" s="44"/>
      <c r="AP152" s="44"/>
      <c r="AQ152" s="44"/>
      <c r="AR152" s="44"/>
      <c r="AS152" s="51"/>
      <c r="AT152" s="44"/>
      <c r="AU152" s="66">
        <f>SUM(Table1[[#This Row],[Org Impact Score]:[Tools]])</f>
        <v>0</v>
      </c>
      <c r="AV152" s="45"/>
      <c r="AW152" s="34"/>
      <c r="AX152" s="34"/>
      <c r="AY152" s="34"/>
    </row>
    <row r="153" spans="1:51">
      <c r="A153" s="31" t="s">
        <v>735</v>
      </c>
      <c r="B153" s="32" t="s">
        <v>195</v>
      </c>
      <c r="C153" s="32" t="b">
        <v>0</v>
      </c>
      <c r="D153" s="32" t="s">
        <v>734</v>
      </c>
      <c r="E153" s="32" t="s">
        <v>890</v>
      </c>
      <c r="F153" s="32" t="s">
        <v>900</v>
      </c>
      <c r="G153" s="32"/>
      <c r="H153" s="65" t="s">
        <v>736</v>
      </c>
      <c r="I153" s="33"/>
      <c r="J153" s="33"/>
      <c r="K153" s="33"/>
      <c r="L153" s="34"/>
      <c r="M153" s="6"/>
      <c r="N153" s="6"/>
      <c r="O153" s="6"/>
      <c r="P153" s="36"/>
      <c r="Q153" s="34"/>
      <c r="R153" s="34"/>
      <c r="S153" s="34"/>
      <c r="T153" s="37"/>
      <c r="U153" s="37"/>
      <c r="V153" s="38">
        <f>DATEDIF(Table1[[#This Row],[Sponsor*]],Table1[[#This Row],[Start Date*]],"d")</f>
        <v>0</v>
      </c>
      <c r="W153" s="62" t="e">
        <f>DATEDIF([1]!Table1[[#This Row],[Start Date*]],[1]!Table1[[#This Row],[End Date*]],"d")</f>
        <v>#VALUE!</v>
      </c>
      <c r="X153" s="39"/>
      <c r="Y153" s="34"/>
      <c r="Z153" s="34"/>
      <c r="AC153" s="34"/>
      <c r="AE153" s="34"/>
      <c r="AF153" s="40"/>
      <c r="AG153" s="34"/>
      <c r="AH153" s="34"/>
      <c r="AI153" s="34"/>
      <c r="AJ153" s="34"/>
      <c r="AK153" s="34">
        <f>SUBTOTAL(9,Table1[[#This Row],[Up Next Priority]:[Campus]])</f>
        <v>0</v>
      </c>
      <c r="AL153" s="52"/>
      <c r="AM153" s="42"/>
      <c r="AN153" s="43"/>
      <c r="AO153" s="44"/>
      <c r="AP153" s="44"/>
      <c r="AQ153" s="44"/>
      <c r="AR153" s="44"/>
      <c r="AS153" s="51"/>
      <c r="AT153" s="44"/>
      <c r="AU153" s="66">
        <f>SUM(Table1[[#This Row],[Org Impact Score]:[Tools]])</f>
        <v>0</v>
      </c>
      <c r="AV153" s="45"/>
      <c r="AW153" s="34"/>
      <c r="AX153" s="34"/>
      <c r="AY153" s="34"/>
    </row>
    <row r="154" spans="1:51">
      <c r="A154" s="31" t="s">
        <v>732</v>
      </c>
      <c r="B154" s="32" t="s">
        <v>195</v>
      </c>
      <c r="C154" s="32" t="b">
        <v>0</v>
      </c>
      <c r="D154" s="32" t="s">
        <v>731</v>
      </c>
      <c r="E154" s="32" t="s">
        <v>890</v>
      </c>
      <c r="F154" s="32" t="s">
        <v>900</v>
      </c>
      <c r="G154" s="32" t="s">
        <v>911</v>
      </c>
      <c r="H154" s="65" t="s">
        <v>733</v>
      </c>
      <c r="I154" s="33"/>
      <c r="J154" s="33"/>
      <c r="K154" s="33"/>
      <c r="L154" s="34"/>
      <c r="M154" s="6"/>
      <c r="N154" s="6"/>
      <c r="O154" s="6"/>
      <c r="P154" s="36"/>
      <c r="Q154" s="34"/>
      <c r="R154" s="34"/>
      <c r="S154" s="34"/>
      <c r="T154" s="37"/>
      <c r="U154" s="37"/>
      <c r="V154" s="38">
        <f>DATEDIF(Table1[[#This Row],[Sponsor*]],Table1[[#This Row],[Start Date*]],"d")</f>
        <v>0</v>
      </c>
      <c r="W154" s="62" t="e">
        <f>DATEDIF([1]!Table1[[#This Row],[Start Date*]],[1]!Table1[[#This Row],[End Date*]],"d")</f>
        <v>#VALUE!</v>
      </c>
      <c r="X154" s="39"/>
      <c r="Y154" s="34"/>
      <c r="Z154" s="34"/>
      <c r="AC154" s="34"/>
      <c r="AE154" s="34"/>
      <c r="AF154" s="40"/>
      <c r="AG154" s="34"/>
      <c r="AH154" s="34"/>
      <c r="AI154" s="34"/>
      <c r="AJ154" s="34"/>
      <c r="AK154" s="34">
        <f>SUBTOTAL(9,Table1[[#This Row],[Up Next Priority]:[Campus]])</f>
        <v>0</v>
      </c>
      <c r="AL154" s="52"/>
      <c r="AM154" s="42"/>
      <c r="AN154" s="43"/>
      <c r="AO154" s="44"/>
      <c r="AP154" s="44"/>
      <c r="AQ154" s="44"/>
      <c r="AR154" s="44"/>
      <c r="AS154" s="51"/>
      <c r="AT154" s="44"/>
      <c r="AU154" s="66">
        <f>SUM(Table1[[#This Row],[Org Impact Score]:[Tools]])</f>
        <v>0</v>
      </c>
      <c r="AV154" s="45"/>
      <c r="AW154" s="34"/>
      <c r="AX154" s="34"/>
      <c r="AY154" s="34"/>
    </row>
    <row r="155" spans="1:51">
      <c r="A155" s="31" t="s">
        <v>729</v>
      </c>
      <c r="B155" s="32" t="s">
        <v>195</v>
      </c>
      <c r="C155" s="32" t="b">
        <v>0</v>
      </c>
      <c r="D155" s="32" t="s">
        <v>728</v>
      </c>
      <c r="E155" s="32" t="s">
        <v>890</v>
      </c>
      <c r="F155" s="32" t="s">
        <v>900</v>
      </c>
      <c r="G155" s="32" t="s">
        <v>911</v>
      </c>
      <c r="H155" s="65" t="s">
        <v>730</v>
      </c>
      <c r="I155" s="33"/>
      <c r="J155" s="33"/>
      <c r="K155" s="33"/>
      <c r="L155" s="34"/>
      <c r="M155" s="6"/>
      <c r="N155" s="6"/>
      <c r="O155" s="6"/>
      <c r="P155" s="36"/>
      <c r="Q155" s="34"/>
      <c r="R155" s="34"/>
      <c r="S155" s="34"/>
      <c r="T155" s="37"/>
      <c r="U155" s="37"/>
      <c r="V155" s="38">
        <f>DATEDIF(Table1[[#This Row],[Sponsor*]],Table1[[#This Row],[Start Date*]],"d")</f>
        <v>0</v>
      </c>
      <c r="W155" s="62" t="e">
        <f>DATEDIF([1]!Table1[[#This Row],[Start Date*]],[1]!Table1[[#This Row],[End Date*]],"d")</f>
        <v>#VALUE!</v>
      </c>
      <c r="X155" s="39"/>
      <c r="Y155" s="34"/>
      <c r="Z155" s="34"/>
      <c r="AC155" s="34"/>
      <c r="AE155" s="34"/>
      <c r="AF155" s="40"/>
      <c r="AG155" s="34"/>
      <c r="AH155" s="34"/>
      <c r="AI155" s="34"/>
      <c r="AJ155" s="34"/>
      <c r="AK155" s="34">
        <f>SUBTOTAL(9,Table1[[#This Row],[Up Next Priority]:[Campus]])</f>
        <v>0</v>
      </c>
      <c r="AL155" s="52"/>
      <c r="AM155" s="42"/>
      <c r="AN155" s="43"/>
      <c r="AO155" s="44"/>
      <c r="AP155" s="44"/>
      <c r="AQ155" s="44"/>
      <c r="AR155" s="44"/>
      <c r="AS155" s="51"/>
      <c r="AT155" s="44"/>
      <c r="AU155" s="66">
        <f>SUM(Table1[[#This Row],[Org Impact Score]:[Tools]])</f>
        <v>0</v>
      </c>
      <c r="AV155" s="45"/>
      <c r="AW155" s="34"/>
      <c r="AX155" s="34"/>
      <c r="AY155" s="34"/>
    </row>
    <row r="156" spans="1:51">
      <c r="A156" s="31" t="s">
        <v>726</v>
      </c>
      <c r="B156" s="32" t="s">
        <v>195</v>
      </c>
      <c r="C156" s="32" t="b">
        <v>0</v>
      </c>
      <c r="D156" s="32" t="s">
        <v>725</v>
      </c>
      <c r="E156" s="32" t="s">
        <v>890</v>
      </c>
      <c r="F156" s="32" t="s">
        <v>900</v>
      </c>
      <c r="G156" s="32"/>
      <c r="H156" s="65" t="s">
        <v>727</v>
      </c>
      <c r="I156" s="33"/>
      <c r="J156" s="33"/>
      <c r="K156" s="33"/>
      <c r="L156" s="34"/>
      <c r="M156" s="6"/>
      <c r="N156" s="6"/>
      <c r="O156" s="6"/>
      <c r="P156" s="36"/>
      <c r="Q156" s="34"/>
      <c r="R156" s="34"/>
      <c r="S156" s="34"/>
      <c r="T156" s="37"/>
      <c r="U156" s="37"/>
      <c r="V156" s="38">
        <f>DATEDIF(Table1[[#This Row],[Sponsor*]],Table1[[#This Row],[Start Date*]],"d")</f>
        <v>0</v>
      </c>
      <c r="W156" s="62" t="e">
        <f>DATEDIF([1]!Table1[[#This Row],[Start Date*]],[1]!Table1[[#This Row],[End Date*]],"d")</f>
        <v>#VALUE!</v>
      </c>
      <c r="X156" s="39"/>
      <c r="Y156" s="34"/>
      <c r="Z156" s="34"/>
      <c r="AC156" s="34"/>
      <c r="AE156" s="34"/>
      <c r="AF156" s="40"/>
      <c r="AG156" s="34"/>
      <c r="AH156" s="34"/>
      <c r="AI156" s="34"/>
      <c r="AJ156" s="34"/>
      <c r="AK156" s="34">
        <f>SUBTOTAL(9,Table1[[#This Row],[Up Next Priority]:[Campus]])</f>
        <v>0</v>
      </c>
      <c r="AL156" s="52"/>
      <c r="AM156" s="42"/>
      <c r="AN156" s="43"/>
      <c r="AO156" s="44"/>
      <c r="AP156" s="44"/>
      <c r="AQ156" s="44"/>
      <c r="AR156" s="44"/>
      <c r="AS156" s="51"/>
      <c r="AT156" s="44"/>
      <c r="AU156" s="66">
        <f>SUM(Table1[[#This Row],[Org Impact Score]:[Tools]])</f>
        <v>0</v>
      </c>
      <c r="AV156" s="45"/>
      <c r="AW156" s="34"/>
      <c r="AX156" s="34"/>
      <c r="AY156" s="34"/>
    </row>
    <row r="157" spans="1:51">
      <c r="A157" s="31" t="s">
        <v>723</v>
      </c>
      <c r="B157" s="32" t="s">
        <v>195</v>
      </c>
      <c r="C157" s="32" t="b">
        <v>0</v>
      </c>
      <c r="D157" s="32" t="s">
        <v>722</v>
      </c>
      <c r="E157" s="32" t="s">
        <v>890</v>
      </c>
      <c r="F157" s="32" t="s">
        <v>899</v>
      </c>
      <c r="G157" s="32"/>
      <c r="H157" s="65" t="s">
        <v>724</v>
      </c>
      <c r="I157" s="33"/>
      <c r="J157" s="33"/>
      <c r="K157" s="33"/>
      <c r="L157" s="34"/>
      <c r="M157" s="6"/>
      <c r="N157" s="6"/>
      <c r="O157" s="6"/>
      <c r="P157" s="36"/>
      <c r="Q157" s="34"/>
      <c r="R157" s="34"/>
      <c r="S157" s="34"/>
      <c r="T157" s="37"/>
      <c r="U157" s="37"/>
      <c r="V157" s="38">
        <f>DATEDIF(Table1[[#This Row],[Sponsor*]],Table1[[#This Row],[Start Date*]],"d")</f>
        <v>0</v>
      </c>
      <c r="W157" s="62" t="e">
        <f>DATEDIF([1]!Table1[[#This Row],[Start Date*]],[1]!Table1[[#This Row],[End Date*]],"d")</f>
        <v>#VALUE!</v>
      </c>
      <c r="X157" s="39"/>
      <c r="Y157" s="34"/>
      <c r="Z157" s="34"/>
      <c r="AC157" s="34"/>
      <c r="AE157" s="34"/>
      <c r="AF157" s="40"/>
      <c r="AG157" s="34"/>
      <c r="AH157" s="34"/>
      <c r="AI157" s="34"/>
      <c r="AJ157" s="34"/>
      <c r="AK157" s="34">
        <f>SUBTOTAL(9,Table1[[#This Row],[Up Next Priority]:[Campus]])</f>
        <v>0</v>
      </c>
      <c r="AL157" s="52"/>
      <c r="AM157" s="42"/>
      <c r="AN157" s="43"/>
      <c r="AO157" s="44"/>
      <c r="AP157" s="44"/>
      <c r="AQ157" s="44"/>
      <c r="AR157" s="44"/>
      <c r="AS157" s="51"/>
      <c r="AT157" s="44"/>
      <c r="AU157" s="66">
        <f>SUM(Table1[[#This Row],[Org Impact Score]:[Tools]])</f>
        <v>0</v>
      </c>
      <c r="AV157" s="45"/>
      <c r="AW157" s="34"/>
      <c r="AX157" s="34"/>
      <c r="AY157" s="34"/>
    </row>
    <row r="158" spans="1:51">
      <c r="A158" s="31" t="s">
        <v>720</v>
      </c>
      <c r="B158" s="32" t="s">
        <v>195</v>
      </c>
      <c r="C158" s="32" t="b">
        <v>0</v>
      </c>
      <c r="D158" s="32" t="s">
        <v>719</v>
      </c>
      <c r="E158" s="32" t="s">
        <v>890</v>
      </c>
      <c r="F158" s="32" t="s">
        <v>899</v>
      </c>
      <c r="G158" s="32"/>
      <c r="H158" s="65" t="s">
        <v>721</v>
      </c>
      <c r="I158" s="33"/>
      <c r="J158" s="33"/>
      <c r="K158" s="33"/>
      <c r="L158" s="34"/>
      <c r="M158" s="6"/>
      <c r="N158" s="6"/>
      <c r="O158" s="6"/>
      <c r="P158" s="36"/>
      <c r="Q158" s="34"/>
      <c r="R158" s="34"/>
      <c r="S158" s="34"/>
      <c r="T158" s="37"/>
      <c r="U158" s="37"/>
      <c r="V158" s="38">
        <f>DATEDIF(Table1[[#This Row],[Sponsor*]],Table1[[#This Row],[Start Date*]],"d")</f>
        <v>0</v>
      </c>
      <c r="W158" s="62" t="e">
        <f>DATEDIF([1]!Table1[[#This Row],[Start Date*]],[1]!Table1[[#This Row],[End Date*]],"d")</f>
        <v>#VALUE!</v>
      </c>
      <c r="X158" s="39"/>
      <c r="Y158" s="34"/>
      <c r="Z158" s="34"/>
      <c r="AC158" s="34"/>
      <c r="AE158" s="34"/>
      <c r="AF158" s="40"/>
      <c r="AG158" s="34"/>
      <c r="AH158" s="34"/>
      <c r="AI158" s="34"/>
      <c r="AJ158" s="34"/>
      <c r="AK158" s="34">
        <f>SUBTOTAL(9,Table1[[#This Row],[Up Next Priority]:[Campus]])</f>
        <v>0</v>
      </c>
      <c r="AL158" s="52"/>
      <c r="AM158" s="42"/>
      <c r="AN158" s="43"/>
      <c r="AO158" s="44"/>
      <c r="AP158" s="44"/>
      <c r="AQ158" s="44"/>
      <c r="AR158" s="44"/>
      <c r="AS158" s="51"/>
      <c r="AT158" s="44"/>
      <c r="AU158" s="66">
        <f>SUM(Table1[[#This Row],[Org Impact Score]:[Tools]])</f>
        <v>0</v>
      </c>
      <c r="AV158" s="45"/>
      <c r="AW158" s="34"/>
      <c r="AX158" s="34"/>
      <c r="AY158" s="34"/>
    </row>
    <row r="159" spans="1:51">
      <c r="A159" s="31" t="s">
        <v>717</v>
      </c>
      <c r="B159" s="32" t="s">
        <v>195</v>
      </c>
      <c r="C159" s="32" t="b">
        <v>0</v>
      </c>
      <c r="D159" s="32" t="s">
        <v>716</v>
      </c>
      <c r="E159" s="32" t="s">
        <v>890</v>
      </c>
      <c r="F159" s="32" t="s">
        <v>899</v>
      </c>
      <c r="G159" s="32"/>
      <c r="H159" s="65" t="s">
        <v>718</v>
      </c>
      <c r="I159" s="33"/>
      <c r="J159" s="33"/>
      <c r="K159" s="33"/>
      <c r="L159" s="34"/>
      <c r="M159" s="6"/>
      <c r="N159" s="6"/>
      <c r="O159" s="6"/>
      <c r="P159" s="36"/>
      <c r="Q159" s="34"/>
      <c r="R159" s="34"/>
      <c r="S159" s="34"/>
      <c r="T159" s="37"/>
      <c r="U159" s="37"/>
      <c r="V159" s="38">
        <f>DATEDIF(Table1[[#This Row],[Sponsor*]],Table1[[#This Row],[Start Date*]],"d")</f>
        <v>0</v>
      </c>
      <c r="W159" s="62" t="e">
        <f>DATEDIF([1]!Table1[[#This Row],[Start Date*]],[1]!Table1[[#This Row],[End Date*]],"d")</f>
        <v>#VALUE!</v>
      </c>
      <c r="X159" s="39"/>
      <c r="Y159" s="34"/>
      <c r="Z159" s="34"/>
      <c r="AC159" s="34"/>
      <c r="AE159" s="34"/>
      <c r="AF159" s="40"/>
      <c r="AG159" s="34"/>
      <c r="AH159" s="34"/>
      <c r="AI159" s="34"/>
      <c r="AJ159" s="34"/>
      <c r="AK159" s="34">
        <f>SUBTOTAL(9,Table1[[#This Row],[Up Next Priority]:[Campus]])</f>
        <v>0</v>
      </c>
      <c r="AL159" s="52"/>
      <c r="AM159" s="42"/>
      <c r="AN159" s="43"/>
      <c r="AO159" s="44"/>
      <c r="AP159" s="44"/>
      <c r="AQ159" s="44"/>
      <c r="AR159" s="44"/>
      <c r="AS159" s="51"/>
      <c r="AT159" s="44"/>
      <c r="AU159" s="66">
        <f>SUM(Table1[[#This Row],[Org Impact Score]:[Tools]])</f>
        <v>0</v>
      </c>
      <c r="AV159" s="45"/>
      <c r="AW159" s="34"/>
      <c r="AX159" s="34"/>
      <c r="AY159" s="34"/>
    </row>
    <row r="160" spans="1:51">
      <c r="A160" s="31" t="s">
        <v>714</v>
      </c>
      <c r="B160" s="32" t="s">
        <v>195</v>
      </c>
      <c r="C160" s="32" t="b">
        <v>0</v>
      </c>
      <c r="D160" s="32" t="s">
        <v>713</v>
      </c>
      <c r="E160" s="32" t="s">
        <v>890</v>
      </c>
      <c r="F160" s="32" t="s">
        <v>899</v>
      </c>
      <c r="G160" s="32"/>
      <c r="H160" s="65" t="s">
        <v>715</v>
      </c>
      <c r="I160" s="33"/>
      <c r="J160" s="33"/>
      <c r="K160" s="33"/>
      <c r="L160" s="34"/>
      <c r="M160" s="6"/>
      <c r="N160" s="6"/>
      <c r="O160" s="6"/>
      <c r="P160" s="36"/>
      <c r="Q160" s="34"/>
      <c r="R160" s="34"/>
      <c r="S160" s="34"/>
      <c r="T160" s="37"/>
      <c r="U160" s="37"/>
      <c r="V160" s="38">
        <f>DATEDIF(Table1[[#This Row],[Sponsor*]],Table1[[#This Row],[Start Date*]],"d")</f>
        <v>0</v>
      </c>
      <c r="W160" s="62" t="e">
        <f>DATEDIF([1]!Table1[[#This Row],[Start Date*]],[1]!Table1[[#This Row],[End Date*]],"d")</f>
        <v>#VALUE!</v>
      </c>
      <c r="X160" s="39"/>
      <c r="Y160" s="34"/>
      <c r="Z160" s="34"/>
      <c r="AC160" s="34"/>
      <c r="AE160" s="34"/>
      <c r="AF160" s="40"/>
      <c r="AG160" s="34"/>
      <c r="AH160" s="34"/>
      <c r="AI160" s="34"/>
      <c r="AJ160" s="34"/>
      <c r="AK160" s="34">
        <f>SUBTOTAL(9,Table1[[#This Row],[Up Next Priority]:[Campus]])</f>
        <v>0</v>
      </c>
      <c r="AL160" s="52"/>
      <c r="AM160" s="42"/>
      <c r="AN160" s="43"/>
      <c r="AO160" s="44"/>
      <c r="AP160" s="44"/>
      <c r="AQ160" s="44"/>
      <c r="AR160" s="44"/>
      <c r="AS160" s="51"/>
      <c r="AT160" s="44"/>
      <c r="AU160" s="66">
        <f>SUM(Table1[[#This Row],[Org Impact Score]:[Tools]])</f>
        <v>0</v>
      </c>
      <c r="AV160" s="45"/>
      <c r="AW160" s="34"/>
      <c r="AX160" s="34"/>
      <c r="AY160" s="34"/>
    </row>
    <row r="161" spans="1:51">
      <c r="A161" s="31" t="s">
        <v>711</v>
      </c>
      <c r="B161" s="32" t="s">
        <v>195</v>
      </c>
      <c r="C161" s="32" t="b">
        <v>0</v>
      </c>
      <c r="D161" s="32" t="s">
        <v>710</v>
      </c>
      <c r="E161" s="32" t="s">
        <v>890</v>
      </c>
      <c r="F161" s="32" t="s">
        <v>899</v>
      </c>
      <c r="G161" s="32"/>
      <c r="H161" s="65" t="s">
        <v>712</v>
      </c>
      <c r="I161" s="33"/>
      <c r="J161" s="33"/>
      <c r="K161" s="33"/>
      <c r="L161" s="34"/>
      <c r="M161" s="6"/>
      <c r="N161" s="6"/>
      <c r="O161" s="6"/>
      <c r="P161" s="36"/>
      <c r="Q161" s="34"/>
      <c r="R161" s="34"/>
      <c r="S161" s="34"/>
      <c r="T161" s="37"/>
      <c r="U161" s="37"/>
      <c r="V161" s="38">
        <f>DATEDIF(Table1[[#This Row],[Sponsor*]],Table1[[#This Row],[Start Date*]],"d")</f>
        <v>0</v>
      </c>
      <c r="W161" s="62" t="e">
        <f>DATEDIF([1]!Table1[[#This Row],[Start Date*]],[1]!Table1[[#This Row],[End Date*]],"d")</f>
        <v>#VALUE!</v>
      </c>
      <c r="X161" s="39"/>
      <c r="Y161" s="34"/>
      <c r="Z161" s="34"/>
      <c r="AC161" s="34"/>
      <c r="AE161" s="34"/>
      <c r="AF161" s="40"/>
      <c r="AG161" s="34"/>
      <c r="AH161" s="34"/>
      <c r="AI161" s="34"/>
      <c r="AJ161" s="34"/>
      <c r="AK161" s="34">
        <f>SUBTOTAL(9,Table1[[#This Row],[Up Next Priority]:[Campus]])</f>
        <v>0</v>
      </c>
      <c r="AL161" s="52"/>
      <c r="AM161" s="42"/>
      <c r="AN161" s="43"/>
      <c r="AO161" s="44"/>
      <c r="AP161" s="44"/>
      <c r="AQ161" s="44"/>
      <c r="AR161" s="44"/>
      <c r="AS161" s="51"/>
      <c r="AT161" s="44"/>
      <c r="AU161" s="66">
        <f>SUM(Table1[[#This Row],[Org Impact Score]:[Tools]])</f>
        <v>0</v>
      </c>
      <c r="AV161" s="45"/>
      <c r="AW161" s="34"/>
      <c r="AX161" s="34"/>
      <c r="AY161" s="34"/>
    </row>
    <row r="162" spans="1:51">
      <c r="A162" s="31" t="s">
        <v>708</v>
      </c>
      <c r="B162" s="32" t="s">
        <v>195</v>
      </c>
      <c r="C162" s="32" t="b">
        <v>0</v>
      </c>
      <c r="D162" s="32" t="s">
        <v>707</v>
      </c>
      <c r="E162" s="32" t="s">
        <v>890</v>
      </c>
      <c r="F162" s="32" t="s">
        <v>899</v>
      </c>
      <c r="G162" s="32"/>
      <c r="H162" s="65" t="s">
        <v>709</v>
      </c>
      <c r="I162" s="33"/>
      <c r="J162" s="33"/>
      <c r="K162" s="33"/>
      <c r="L162" s="34"/>
      <c r="M162" s="6"/>
      <c r="N162" s="6"/>
      <c r="O162" s="6"/>
      <c r="P162" s="36"/>
      <c r="Q162" s="34"/>
      <c r="R162" s="34"/>
      <c r="S162" s="34"/>
      <c r="T162" s="37"/>
      <c r="U162" s="37"/>
      <c r="V162" s="38">
        <f>DATEDIF(Table1[[#This Row],[Sponsor*]],Table1[[#This Row],[Start Date*]],"d")</f>
        <v>0</v>
      </c>
      <c r="W162" s="62" t="e">
        <f>DATEDIF([1]!Table1[[#This Row],[Start Date*]],[1]!Table1[[#This Row],[End Date*]],"d")</f>
        <v>#VALUE!</v>
      </c>
      <c r="X162" s="39"/>
      <c r="Y162" s="34"/>
      <c r="Z162" s="34"/>
      <c r="AC162" s="34"/>
      <c r="AE162" s="34"/>
      <c r="AF162" s="40"/>
      <c r="AG162" s="34"/>
      <c r="AH162" s="34"/>
      <c r="AI162" s="34"/>
      <c r="AJ162" s="34"/>
      <c r="AK162" s="34">
        <f>SUBTOTAL(9,Table1[[#This Row],[Up Next Priority]:[Campus]])</f>
        <v>0</v>
      </c>
      <c r="AL162" s="52"/>
      <c r="AM162" s="42"/>
      <c r="AN162" s="43"/>
      <c r="AO162" s="44"/>
      <c r="AP162" s="44"/>
      <c r="AQ162" s="44"/>
      <c r="AR162" s="44"/>
      <c r="AS162" s="51"/>
      <c r="AT162" s="44"/>
      <c r="AU162" s="66">
        <f>SUM(Table1[[#This Row],[Org Impact Score]:[Tools]])</f>
        <v>0</v>
      </c>
      <c r="AV162" s="45"/>
      <c r="AW162" s="34"/>
      <c r="AX162" s="34"/>
      <c r="AY162" s="34"/>
    </row>
    <row r="163" spans="1:51">
      <c r="A163" s="31" t="s">
        <v>705</v>
      </c>
      <c r="B163" s="32" t="s">
        <v>195</v>
      </c>
      <c r="C163" s="32" t="b">
        <v>0</v>
      </c>
      <c r="D163" s="32" t="s">
        <v>704</v>
      </c>
      <c r="E163" s="32" t="s">
        <v>890</v>
      </c>
      <c r="F163" s="32" t="s">
        <v>899</v>
      </c>
      <c r="G163" s="32"/>
      <c r="H163" s="65" t="s">
        <v>706</v>
      </c>
      <c r="I163" s="33"/>
      <c r="J163" s="33"/>
      <c r="K163" s="33"/>
      <c r="L163" s="34"/>
      <c r="M163" s="6"/>
      <c r="N163" s="6"/>
      <c r="O163" s="6"/>
      <c r="P163" s="36"/>
      <c r="Q163" s="34"/>
      <c r="R163" s="34"/>
      <c r="S163" s="34"/>
      <c r="T163" s="37"/>
      <c r="U163" s="37"/>
      <c r="V163" s="38">
        <f>DATEDIF(Table1[[#This Row],[Sponsor*]],Table1[[#This Row],[Start Date*]],"d")</f>
        <v>0</v>
      </c>
      <c r="W163" s="62" t="e">
        <f>DATEDIF([1]!Table1[[#This Row],[Start Date*]],[1]!Table1[[#This Row],[End Date*]],"d")</f>
        <v>#VALUE!</v>
      </c>
      <c r="X163" s="39"/>
      <c r="Y163" s="34"/>
      <c r="Z163" s="34"/>
      <c r="AC163" s="34"/>
      <c r="AE163" s="34"/>
      <c r="AF163" s="40"/>
      <c r="AG163" s="34"/>
      <c r="AH163" s="34"/>
      <c r="AI163" s="34"/>
      <c r="AJ163" s="34"/>
      <c r="AK163" s="34">
        <f>SUBTOTAL(9,Table1[[#This Row],[Up Next Priority]:[Campus]])</f>
        <v>0</v>
      </c>
      <c r="AL163" s="52"/>
      <c r="AM163" s="42"/>
      <c r="AN163" s="43"/>
      <c r="AO163" s="44"/>
      <c r="AP163" s="44"/>
      <c r="AQ163" s="44"/>
      <c r="AR163" s="44"/>
      <c r="AS163" s="51"/>
      <c r="AT163" s="44"/>
      <c r="AU163" s="66">
        <f>SUM(Table1[[#This Row],[Org Impact Score]:[Tools]])</f>
        <v>0</v>
      </c>
      <c r="AV163" s="45"/>
      <c r="AW163" s="34"/>
      <c r="AX163" s="34"/>
      <c r="AY163" s="34"/>
    </row>
    <row r="164" spans="1:51">
      <c r="A164" s="31" t="s">
        <v>702</v>
      </c>
      <c r="B164" s="32" t="s">
        <v>195</v>
      </c>
      <c r="C164" s="32" t="b">
        <v>0</v>
      </c>
      <c r="D164" s="32" t="s">
        <v>701</v>
      </c>
      <c r="E164" s="32" t="s">
        <v>890</v>
      </c>
      <c r="F164" s="32" t="s">
        <v>899</v>
      </c>
      <c r="G164" s="32"/>
      <c r="H164" s="65" t="s">
        <v>703</v>
      </c>
      <c r="I164" s="33"/>
      <c r="J164" s="33"/>
      <c r="K164" s="33"/>
      <c r="L164" s="34"/>
      <c r="M164" s="6"/>
      <c r="N164" s="6"/>
      <c r="O164" s="6"/>
      <c r="P164" s="36"/>
      <c r="Q164" s="34"/>
      <c r="R164" s="34"/>
      <c r="S164" s="34"/>
      <c r="T164" s="37"/>
      <c r="U164" s="37"/>
      <c r="V164" s="38">
        <f>DATEDIF(Table1[[#This Row],[Sponsor*]],Table1[[#This Row],[Start Date*]],"d")</f>
        <v>0</v>
      </c>
      <c r="W164" s="62" t="e">
        <f>DATEDIF([1]!Table1[[#This Row],[Start Date*]],[1]!Table1[[#This Row],[End Date*]],"d")</f>
        <v>#VALUE!</v>
      </c>
      <c r="X164" s="39"/>
      <c r="Y164" s="34"/>
      <c r="Z164" s="34"/>
      <c r="AC164" s="34"/>
      <c r="AE164" s="34"/>
      <c r="AF164" s="40"/>
      <c r="AG164" s="34"/>
      <c r="AH164" s="34"/>
      <c r="AI164" s="34"/>
      <c r="AJ164" s="34"/>
      <c r="AK164" s="34">
        <f>SUBTOTAL(9,Table1[[#This Row],[Up Next Priority]:[Campus]])</f>
        <v>0</v>
      </c>
      <c r="AL164" s="52"/>
      <c r="AM164" s="42"/>
      <c r="AN164" s="43"/>
      <c r="AO164" s="44"/>
      <c r="AP164" s="44"/>
      <c r="AQ164" s="44"/>
      <c r="AR164" s="44"/>
      <c r="AS164" s="51"/>
      <c r="AT164" s="44"/>
      <c r="AU164" s="66">
        <f>SUM(Table1[[#This Row],[Org Impact Score]:[Tools]])</f>
        <v>0</v>
      </c>
      <c r="AV164" s="45"/>
      <c r="AW164" s="34"/>
      <c r="AX164" s="34"/>
      <c r="AY164" s="34"/>
    </row>
    <row r="165" spans="1:51">
      <c r="A165" s="31" t="s">
        <v>699</v>
      </c>
      <c r="B165" s="32" t="s">
        <v>195</v>
      </c>
      <c r="C165" s="32" t="b">
        <v>0</v>
      </c>
      <c r="D165" s="32" t="s">
        <v>698</v>
      </c>
      <c r="E165" s="32" t="s">
        <v>890</v>
      </c>
      <c r="F165" s="32" t="s">
        <v>899</v>
      </c>
      <c r="G165" s="32"/>
      <c r="H165" s="65" t="s">
        <v>700</v>
      </c>
      <c r="I165" s="33"/>
      <c r="J165" s="33"/>
      <c r="K165" s="33"/>
      <c r="L165" s="34"/>
      <c r="M165" s="6"/>
      <c r="N165" s="6"/>
      <c r="O165" s="6"/>
      <c r="P165" s="36"/>
      <c r="Q165" s="34"/>
      <c r="R165" s="34"/>
      <c r="S165" s="34"/>
      <c r="T165" s="37"/>
      <c r="U165" s="37"/>
      <c r="V165" s="38">
        <f>DATEDIF(Table1[[#This Row],[Sponsor*]],Table1[[#This Row],[Start Date*]],"d")</f>
        <v>0</v>
      </c>
      <c r="W165" s="62" t="e">
        <f>DATEDIF([1]!Table1[[#This Row],[Start Date*]],[1]!Table1[[#This Row],[End Date*]],"d")</f>
        <v>#VALUE!</v>
      </c>
      <c r="X165" s="39"/>
      <c r="Y165" s="34"/>
      <c r="Z165" s="34"/>
      <c r="AC165" s="34"/>
      <c r="AE165" s="34"/>
      <c r="AF165" s="40"/>
      <c r="AG165" s="34"/>
      <c r="AH165" s="34"/>
      <c r="AI165" s="34"/>
      <c r="AJ165" s="34"/>
      <c r="AK165" s="34">
        <f>SUBTOTAL(9,Table1[[#This Row],[Up Next Priority]:[Campus]])</f>
        <v>0</v>
      </c>
      <c r="AL165" s="52"/>
      <c r="AM165" s="42"/>
      <c r="AN165" s="43"/>
      <c r="AO165" s="44"/>
      <c r="AP165" s="44"/>
      <c r="AQ165" s="44"/>
      <c r="AR165" s="44"/>
      <c r="AS165" s="51"/>
      <c r="AT165" s="44"/>
      <c r="AU165" s="66">
        <f>SUM(Table1[[#This Row],[Org Impact Score]:[Tools]])</f>
        <v>0</v>
      </c>
      <c r="AV165" s="45"/>
      <c r="AW165" s="34"/>
      <c r="AX165" s="34"/>
      <c r="AY165" s="34"/>
    </row>
    <row r="166" spans="1:51">
      <c r="A166" s="31" t="s">
        <v>696</v>
      </c>
      <c r="B166" s="32" t="s">
        <v>195</v>
      </c>
      <c r="C166" s="32" t="b">
        <v>0</v>
      </c>
      <c r="D166" s="56" t="s">
        <v>695</v>
      </c>
      <c r="E166" s="32" t="s">
        <v>890</v>
      </c>
      <c r="F166" s="32" t="s">
        <v>899</v>
      </c>
      <c r="G166" s="32"/>
      <c r="H166" s="65" t="s">
        <v>697</v>
      </c>
      <c r="I166" s="33"/>
      <c r="J166" s="33"/>
      <c r="K166" s="33"/>
      <c r="L166" s="34"/>
      <c r="M166" s="6"/>
      <c r="N166" s="6"/>
      <c r="O166" s="6"/>
      <c r="P166" s="36"/>
      <c r="Q166" s="34"/>
      <c r="R166" s="34"/>
      <c r="S166" s="34"/>
      <c r="T166" s="37"/>
      <c r="U166" s="37"/>
      <c r="V166" s="38">
        <f>DATEDIF(Table1[[#This Row],[Sponsor*]],Table1[[#This Row],[Start Date*]],"d")</f>
        <v>0</v>
      </c>
      <c r="W166" s="62" t="e">
        <f>DATEDIF([1]!Table1[[#This Row],[Start Date*]],[1]!Table1[[#This Row],[End Date*]],"d")</f>
        <v>#VALUE!</v>
      </c>
      <c r="X166" s="39"/>
      <c r="Y166" s="34"/>
      <c r="Z166" s="34"/>
      <c r="AC166" s="34"/>
      <c r="AE166" s="34"/>
      <c r="AF166" s="40"/>
      <c r="AG166" s="34"/>
      <c r="AH166" s="34"/>
      <c r="AI166" s="34"/>
      <c r="AJ166" s="34"/>
      <c r="AK166" s="34">
        <f>SUBTOTAL(9,Table1[[#This Row],[Up Next Priority]:[Campus]])</f>
        <v>0</v>
      </c>
      <c r="AL166" s="52"/>
      <c r="AM166" s="42"/>
      <c r="AN166" s="43"/>
      <c r="AO166" s="44"/>
      <c r="AP166" s="44"/>
      <c r="AQ166" s="44"/>
      <c r="AR166" s="44"/>
      <c r="AS166" s="51"/>
      <c r="AT166" s="44"/>
      <c r="AU166" s="66">
        <f>SUM(Table1[[#This Row],[Org Impact Score]:[Tools]])</f>
        <v>0</v>
      </c>
      <c r="AV166" s="45"/>
      <c r="AW166" s="34"/>
      <c r="AX166" s="34"/>
      <c r="AY166" s="34"/>
    </row>
    <row r="167" spans="1:51">
      <c r="A167" s="31" t="s">
        <v>693</v>
      </c>
      <c r="B167" s="32" t="s">
        <v>195</v>
      </c>
      <c r="C167" s="32" t="b">
        <v>0</v>
      </c>
      <c r="D167" s="56" t="s">
        <v>692</v>
      </c>
      <c r="E167" s="32" t="s">
        <v>890</v>
      </c>
      <c r="F167" s="32" t="s">
        <v>899</v>
      </c>
      <c r="G167" s="32"/>
      <c r="H167" s="65" t="s">
        <v>694</v>
      </c>
      <c r="I167" s="33"/>
      <c r="J167" s="33"/>
      <c r="K167" s="33"/>
      <c r="L167" s="34"/>
      <c r="M167" s="6"/>
      <c r="N167" s="6"/>
      <c r="O167" s="6"/>
      <c r="P167" s="36"/>
      <c r="Q167" s="34"/>
      <c r="R167" s="34"/>
      <c r="S167" s="34"/>
      <c r="T167" s="37"/>
      <c r="U167" s="37"/>
      <c r="V167" s="38">
        <f>DATEDIF(Table1[[#This Row],[Sponsor*]],Table1[[#This Row],[Start Date*]],"d")</f>
        <v>0</v>
      </c>
      <c r="W167" s="62" t="e">
        <f>DATEDIF([1]!Table1[[#This Row],[Start Date*]],[1]!Table1[[#This Row],[End Date*]],"d")</f>
        <v>#VALUE!</v>
      </c>
      <c r="X167" s="39"/>
      <c r="Y167" s="34"/>
      <c r="Z167" s="34"/>
      <c r="AC167" s="34"/>
      <c r="AE167" s="34"/>
      <c r="AF167" s="40"/>
      <c r="AG167" s="34"/>
      <c r="AH167" s="34"/>
      <c r="AI167" s="34"/>
      <c r="AJ167" s="34"/>
      <c r="AK167" s="34">
        <f>SUBTOTAL(9,Table1[[#This Row],[Up Next Priority]:[Campus]])</f>
        <v>0</v>
      </c>
      <c r="AL167" s="52"/>
      <c r="AM167" s="42"/>
      <c r="AN167" s="43"/>
      <c r="AO167" s="44"/>
      <c r="AP167" s="44"/>
      <c r="AQ167" s="44"/>
      <c r="AR167" s="44"/>
      <c r="AS167" s="51"/>
      <c r="AT167" s="44"/>
      <c r="AU167" s="66">
        <f>SUM(Table1[[#This Row],[Org Impact Score]:[Tools]])</f>
        <v>0</v>
      </c>
      <c r="AV167" s="45"/>
      <c r="AW167" s="34"/>
      <c r="AX167" s="34"/>
      <c r="AY167" s="34"/>
    </row>
    <row r="168" spans="1:51">
      <c r="A168" s="31" t="s">
        <v>690</v>
      </c>
      <c r="B168" s="32" t="s">
        <v>195</v>
      </c>
      <c r="C168" s="32" t="b">
        <v>0</v>
      </c>
      <c r="D168" s="32" t="s">
        <v>689</v>
      </c>
      <c r="E168" s="32" t="s">
        <v>890</v>
      </c>
      <c r="F168" s="32" t="s">
        <v>899</v>
      </c>
      <c r="G168" s="32"/>
      <c r="H168" s="65" t="s">
        <v>691</v>
      </c>
      <c r="I168" s="33"/>
      <c r="J168" s="33"/>
      <c r="K168" s="33"/>
      <c r="L168" s="34"/>
      <c r="M168" s="6"/>
      <c r="N168" s="6"/>
      <c r="O168" s="6"/>
      <c r="P168" s="36"/>
      <c r="Q168" s="34"/>
      <c r="R168" s="34"/>
      <c r="S168" s="34"/>
      <c r="T168" s="37"/>
      <c r="U168" s="37"/>
      <c r="V168" s="38">
        <f>DATEDIF(Table1[[#This Row],[Sponsor*]],Table1[[#This Row],[Start Date*]],"d")</f>
        <v>0</v>
      </c>
      <c r="W168" s="62" t="e">
        <f>DATEDIF([1]!Table1[[#This Row],[Start Date*]],[1]!Table1[[#This Row],[End Date*]],"d")</f>
        <v>#VALUE!</v>
      </c>
      <c r="X168" s="39"/>
      <c r="Y168" s="34"/>
      <c r="Z168" s="34"/>
      <c r="AC168" s="34"/>
      <c r="AE168" s="34"/>
      <c r="AF168" s="40"/>
      <c r="AG168" s="34"/>
      <c r="AH168" s="34"/>
      <c r="AI168" s="34"/>
      <c r="AJ168" s="34"/>
      <c r="AK168" s="34">
        <f>SUBTOTAL(9,Table1[[#This Row],[Up Next Priority]:[Campus]])</f>
        <v>0</v>
      </c>
      <c r="AL168" s="52"/>
      <c r="AM168" s="42"/>
      <c r="AN168" s="43"/>
      <c r="AO168" s="44"/>
      <c r="AP168" s="44"/>
      <c r="AQ168" s="44"/>
      <c r="AR168" s="44"/>
      <c r="AS168" s="51"/>
      <c r="AT168" s="44"/>
      <c r="AU168" s="66">
        <f>SUM(Table1[[#This Row],[Org Impact Score]:[Tools]])</f>
        <v>0</v>
      </c>
      <c r="AV168" s="45"/>
      <c r="AW168" s="34"/>
      <c r="AX168" s="34"/>
      <c r="AY168" s="34"/>
    </row>
    <row r="169" spans="1:51">
      <c r="A169" s="31" t="s">
        <v>687</v>
      </c>
      <c r="B169" s="32" t="s">
        <v>195</v>
      </c>
      <c r="C169" s="32" t="b">
        <v>0</v>
      </c>
      <c r="D169" s="32" t="s">
        <v>686</v>
      </c>
      <c r="E169" s="32" t="s">
        <v>890</v>
      </c>
      <c r="F169" s="32" t="s">
        <v>899</v>
      </c>
      <c r="G169" s="32"/>
      <c r="H169" s="65" t="s">
        <v>688</v>
      </c>
      <c r="I169" s="33"/>
      <c r="J169" s="33"/>
      <c r="K169" s="33"/>
      <c r="L169" s="34"/>
      <c r="M169" s="6"/>
      <c r="N169" s="6"/>
      <c r="O169" s="6"/>
      <c r="P169" s="36"/>
      <c r="Q169" s="34"/>
      <c r="R169" s="34"/>
      <c r="S169" s="34"/>
      <c r="T169" s="37"/>
      <c r="U169" s="37"/>
      <c r="V169" s="38">
        <f>DATEDIF(Table1[[#This Row],[Sponsor*]],Table1[[#This Row],[Start Date*]],"d")</f>
        <v>0</v>
      </c>
      <c r="W169" s="62" t="e">
        <f>DATEDIF([1]!Table1[[#This Row],[Start Date*]],[1]!Table1[[#This Row],[End Date*]],"d")</f>
        <v>#VALUE!</v>
      </c>
      <c r="X169" s="39"/>
      <c r="Y169" s="34"/>
      <c r="Z169" s="34"/>
      <c r="AC169" s="34"/>
      <c r="AE169" s="34"/>
      <c r="AF169" s="40"/>
      <c r="AG169" s="34"/>
      <c r="AH169" s="34"/>
      <c r="AI169" s="34"/>
      <c r="AJ169" s="34"/>
      <c r="AK169" s="34">
        <f>SUBTOTAL(9,Table1[[#This Row],[Up Next Priority]:[Campus]])</f>
        <v>0</v>
      </c>
      <c r="AL169" s="52"/>
      <c r="AM169" s="42"/>
      <c r="AN169" s="43"/>
      <c r="AO169" s="44"/>
      <c r="AP169" s="44"/>
      <c r="AQ169" s="44"/>
      <c r="AR169" s="44"/>
      <c r="AS169" s="51"/>
      <c r="AT169" s="44"/>
      <c r="AU169" s="66">
        <f>SUM(Table1[[#This Row],[Org Impact Score]:[Tools]])</f>
        <v>0</v>
      </c>
      <c r="AV169" s="45"/>
      <c r="AW169" s="34"/>
      <c r="AX169" s="34"/>
      <c r="AY169" s="34"/>
    </row>
    <row r="170" spans="1:51">
      <c r="A170" s="31" t="s">
        <v>684</v>
      </c>
      <c r="B170" s="32" t="s">
        <v>195</v>
      </c>
      <c r="C170" s="32" t="b">
        <v>0</v>
      </c>
      <c r="D170" s="32" t="s">
        <v>683</v>
      </c>
      <c r="E170" s="32" t="s">
        <v>890</v>
      </c>
      <c r="F170" s="32" t="s">
        <v>899</v>
      </c>
      <c r="G170" s="32" t="s">
        <v>907</v>
      </c>
      <c r="H170" s="65" t="s">
        <v>685</v>
      </c>
      <c r="I170" s="33"/>
      <c r="J170" s="33"/>
      <c r="K170" s="33"/>
      <c r="L170" s="34"/>
      <c r="M170" s="6"/>
      <c r="N170" s="6"/>
      <c r="O170" s="6"/>
      <c r="P170" s="36"/>
      <c r="Q170" s="34"/>
      <c r="R170" s="34"/>
      <c r="S170" s="34"/>
      <c r="T170" s="37"/>
      <c r="U170" s="37"/>
      <c r="V170" s="38">
        <f>DATEDIF(Table1[[#This Row],[Sponsor*]],Table1[[#This Row],[Start Date*]],"d")</f>
        <v>0</v>
      </c>
      <c r="W170" s="62" t="e">
        <f>DATEDIF([1]!Table1[[#This Row],[Start Date*]],[1]!Table1[[#This Row],[End Date*]],"d")</f>
        <v>#VALUE!</v>
      </c>
      <c r="X170" s="39"/>
      <c r="Y170" s="34"/>
      <c r="Z170" s="34"/>
      <c r="AC170" s="34"/>
      <c r="AE170" s="34"/>
      <c r="AF170" s="40"/>
      <c r="AG170" s="34"/>
      <c r="AH170" s="34"/>
      <c r="AI170" s="34"/>
      <c r="AJ170" s="34"/>
      <c r="AK170" s="34">
        <f>SUBTOTAL(9,Table1[[#This Row],[Up Next Priority]:[Campus]])</f>
        <v>0</v>
      </c>
      <c r="AL170" s="52"/>
      <c r="AM170" s="42"/>
      <c r="AN170" s="43"/>
      <c r="AO170" s="44"/>
      <c r="AP170" s="44"/>
      <c r="AQ170" s="44"/>
      <c r="AR170" s="44"/>
      <c r="AS170" s="51"/>
      <c r="AT170" s="44"/>
      <c r="AU170" s="66">
        <f>SUM(Table1[[#This Row],[Org Impact Score]:[Tools]])</f>
        <v>0</v>
      </c>
      <c r="AV170" s="45"/>
      <c r="AW170" s="34"/>
      <c r="AX170" s="34"/>
      <c r="AY170" s="34"/>
    </row>
    <row r="171" spans="1:51">
      <c r="A171" s="31" t="s">
        <v>681</v>
      </c>
      <c r="B171" s="32" t="s">
        <v>195</v>
      </c>
      <c r="C171" s="32" t="b">
        <v>0</v>
      </c>
      <c r="D171" s="32" t="s">
        <v>680</v>
      </c>
      <c r="E171" s="32" t="s">
        <v>890</v>
      </c>
      <c r="F171" s="32" t="s">
        <v>899</v>
      </c>
      <c r="G171" s="32" t="s">
        <v>907</v>
      </c>
      <c r="H171" s="65" t="s">
        <v>682</v>
      </c>
      <c r="I171" s="33"/>
      <c r="J171" s="33"/>
      <c r="K171" s="33"/>
      <c r="L171" s="34"/>
      <c r="M171" s="6"/>
      <c r="N171" s="6"/>
      <c r="O171" s="6"/>
      <c r="P171" s="36"/>
      <c r="Q171" s="34"/>
      <c r="R171" s="34"/>
      <c r="S171" s="34"/>
      <c r="T171" s="37"/>
      <c r="U171" s="37"/>
      <c r="V171" s="38">
        <f>DATEDIF(Table1[[#This Row],[Sponsor*]],Table1[[#This Row],[Start Date*]],"d")</f>
        <v>0</v>
      </c>
      <c r="W171" s="62" t="e">
        <f>DATEDIF([1]!Table1[[#This Row],[Start Date*]],[1]!Table1[[#This Row],[End Date*]],"d")</f>
        <v>#VALUE!</v>
      </c>
      <c r="X171" s="39"/>
      <c r="Y171" s="34"/>
      <c r="Z171" s="34"/>
      <c r="AC171" s="34"/>
      <c r="AE171" s="34"/>
      <c r="AF171" s="40"/>
      <c r="AG171" s="34"/>
      <c r="AH171" s="34"/>
      <c r="AI171" s="34"/>
      <c r="AJ171" s="34"/>
      <c r="AK171" s="34">
        <f>SUBTOTAL(9,Table1[[#This Row],[Up Next Priority]:[Campus]])</f>
        <v>0</v>
      </c>
      <c r="AL171" s="52"/>
      <c r="AM171" s="42"/>
      <c r="AN171" s="43"/>
      <c r="AO171" s="44"/>
      <c r="AP171" s="44"/>
      <c r="AQ171" s="44"/>
      <c r="AR171" s="44"/>
      <c r="AS171" s="51"/>
      <c r="AT171" s="44"/>
      <c r="AU171" s="66">
        <f>SUM(Table1[[#This Row],[Org Impact Score]:[Tools]])</f>
        <v>0</v>
      </c>
      <c r="AV171" s="45"/>
      <c r="AW171" s="34"/>
      <c r="AX171" s="34"/>
      <c r="AY171" s="34"/>
    </row>
    <row r="172" spans="1:51">
      <c r="A172" s="31" t="s">
        <v>678</v>
      </c>
      <c r="B172" s="32" t="s">
        <v>195</v>
      </c>
      <c r="C172" s="32" t="b">
        <v>0</v>
      </c>
      <c r="D172" s="32" t="s">
        <v>677</v>
      </c>
      <c r="E172" s="32" t="s">
        <v>890</v>
      </c>
      <c r="F172" s="32" t="s">
        <v>899</v>
      </c>
      <c r="G172" s="32" t="s">
        <v>81</v>
      </c>
      <c r="H172" s="65" t="s">
        <v>679</v>
      </c>
      <c r="I172" s="33"/>
      <c r="J172" s="33"/>
      <c r="K172" s="33"/>
      <c r="L172" s="34"/>
      <c r="M172" s="6"/>
      <c r="N172" s="6"/>
      <c r="O172" s="6"/>
      <c r="P172" s="36"/>
      <c r="Q172" s="34"/>
      <c r="R172" s="34"/>
      <c r="S172" s="34"/>
      <c r="T172" s="37"/>
      <c r="U172" s="37"/>
      <c r="V172" s="38">
        <f>DATEDIF(Table1[[#This Row],[Sponsor*]],Table1[[#This Row],[Start Date*]],"d")</f>
        <v>0</v>
      </c>
      <c r="W172" s="62" t="e">
        <f>DATEDIF([1]!Table1[[#This Row],[Start Date*]],[1]!Table1[[#This Row],[End Date*]],"d")</f>
        <v>#VALUE!</v>
      </c>
      <c r="X172" s="39"/>
      <c r="Y172" s="34"/>
      <c r="Z172" s="34"/>
      <c r="AC172" s="34"/>
      <c r="AE172" s="34"/>
      <c r="AF172" s="40"/>
      <c r="AG172" s="34"/>
      <c r="AH172" s="34"/>
      <c r="AI172" s="34"/>
      <c r="AJ172" s="34"/>
      <c r="AK172" s="34">
        <f>SUBTOTAL(9,Table1[[#This Row],[Up Next Priority]:[Campus]])</f>
        <v>0</v>
      </c>
      <c r="AL172" s="52"/>
      <c r="AM172" s="42"/>
      <c r="AN172" s="43"/>
      <c r="AO172" s="44"/>
      <c r="AP172" s="44"/>
      <c r="AQ172" s="44"/>
      <c r="AR172" s="44"/>
      <c r="AS172" s="51"/>
      <c r="AT172" s="44"/>
      <c r="AU172" s="66">
        <f>SUM(Table1[[#This Row],[Org Impact Score]:[Tools]])</f>
        <v>0</v>
      </c>
      <c r="AV172" s="45"/>
      <c r="AW172" s="34"/>
      <c r="AX172" s="34"/>
      <c r="AY172" s="34"/>
    </row>
    <row r="173" spans="1:51">
      <c r="A173" s="31" t="s">
        <v>675</v>
      </c>
      <c r="B173" s="32" t="s">
        <v>195</v>
      </c>
      <c r="C173" s="32" t="b">
        <v>0</v>
      </c>
      <c r="D173" s="32" t="s">
        <v>674</v>
      </c>
      <c r="E173" s="32" t="s">
        <v>890</v>
      </c>
      <c r="F173" s="32" t="s">
        <v>899</v>
      </c>
      <c r="G173" s="32" t="s">
        <v>76</v>
      </c>
      <c r="H173" s="65" t="s">
        <v>676</v>
      </c>
      <c r="I173" s="33"/>
      <c r="J173" s="33"/>
      <c r="K173" s="33"/>
      <c r="L173" s="34"/>
      <c r="M173" s="6"/>
      <c r="N173" s="6"/>
      <c r="O173" s="6"/>
      <c r="P173" s="36"/>
      <c r="Q173" s="34"/>
      <c r="R173" s="34"/>
      <c r="S173" s="34"/>
      <c r="T173" s="37"/>
      <c r="U173" s="37"/>
      <c r="V173" s="38">
        <f>DATEDIF(Table1[[#This Row],[Sponsor*]],Table1[[#This Row],[Start Date*]],"d")</f>
        <v>0</v>
      </c>
      <c r="W173" s="62" t="e">
        <f>DATEDIF([1]!Table1[[#This Row],[Start Date*]],[1]!Table1[[#This Row],[End Date*]],"d")</f>
        <v>#VALUE!</v>
      </c>
      <c r="X173" s="39"/>
      <c r="Y173" s="34"/>
      <c r="Z173" s="34"/>
      <c r="AC173" s="34"/>
      <c r="AE173" s="34"/>
      <c r="AF173" s="40"/>
      <c r="AG173" s="34"/>
      <c r="AH173" s="34"/>
      <c r="AI173" s="34"/>
      <c r="AJ173" s="34"/>
      <c r="AK173" s="34">
        <f>SUBTOTAL(9,Table1[[#This Row],[Up Next Priority]:[Campus]])</f>
        <v>0</v>
      </c>
      <c r="AL173" s="52"/>
      <c r="AM173" s="42"/>
      <c r="AN173" s="43"/>
      <c r="AO173" s="44"/>
      <c r="AP173" s="44"/>
      <c r="AQ173" s="44"/>
      <c r="AR173" s="44"/>
      <c r="AS173" s="51"/>
      <c r="AT173" s="44"/>
      <c r="AU173" s="66">
        <f>SUM(Table1[[#This Row],[Org Impact Score]:[Tools]])</f>
        <v>0</v>
      </c>
      <c r="AV173" s="45"/>
      <c r="AW173" s="34"/>
      <c r="AX173" s="34"/>
      <c r="AY173" s="34"/>
    </row>
    <row r="174" spans="1:51">
      <c r="A174" s="31" t="s">
        <v>672</v>
      </c>
      <c r="B174" s="32" t="s">
        <v>195</v>
      </c>
      <c r="C174" s="32" t="b">
        <v>0</v>
      </c>
      <c r="D174" s="32" t="s">
        <v>671</v>
      </c>
      <c r="E174" s="32" t="s">
        <v>890</v>
      </c>
      <c r="F174" s="32" t="s">
        <v>899</v>
      </c>
      <c r="G174" s="32" t="s">
        <v>81</v>
      </c>
      <c r="H174" s="65" t="s">
        <v>673</v>
      </c>
      <c r="I174" s="33"/>
      <c r="J174" s="33"/>
      <c r="K174" s="33"/>
      <c r="L174" s="34"/>
      <c r="M174" s="6"/>
      <c r="N174" s="6"/>
      <c r="O174" s="6"/>
      <c r="P174" s="36"/>
      <c r="Q174" s="34"/>
      <c r="R174" s="34"/>
      <c r="S174" s="34"/>
      <c r="T174" s="37"/>
      <c r="U174" s="37"/>
      <c r="V174" s="38">
        <f>DATEDIF(Table1[[#This Row],[Sponsor*]],Table1[[#This Row],[Start Date*]],"d")</f>
        <v>0</v>
      </c>
      <c r="W174" s="62" t="e">
        <f>DATEDIF([1]!Table1[[#This Row],[Start Date*]],[1]!Table1[[#This Row],[End Date*]],"d")</f>
        <v>#VALUE!</v>
      </c>
      <c r="X174" s="39"/>
      <c r="Y174" s="34"/>
      <c r="Z174" s="34"/>
      <c r="AC174" s="34"/>
      <c r="AE174" s="34"/>
      <c r="AF174" s="40"/>
      <c r="AG174" s="34"/>
      <c r="AH174" s="34"/>
      <c r="AI174" s="34"/>
      <c r="AJ174" s="34"/>
      <c r="AK174" s="34">
        <f>SUBTOTAL(9,Table1[[#This Row],[Up Next Priority]:[Campus]])</f>
        <v>0</v>
      </c>
      <c r="AL174" s="52"/>
      <c r="AM174" s="42"/>
      <c r="AN174" s="43"/>
      <c r="AO174" s="44"/>
      <c r="AP174" s="44"/>
      <c r="AQ174" s="44"/>
      <c r="AR174" s="44"/>
      <c r="AS174" s="51"/>
      <c r="AT174" s="44"/>
      <c r="AU174" s="66">
        <f>SUM(Table1[[#This Row],[Org Impact Score]:[Tools]])</f>
        <v>0</v>
      </c>
      <c r="AV174" s="45"/>
      <c r="AW174" s="34"/>
      <c r="AX174" s="34"/>
      <c r="AY174" s="34"/>
    </row>
    <row r="175" spans="1:51">
      <c r="A175" s="31" t="s">
        <v>669</v>
      </c>
      <c r="B175" s="32" t="s">
        <v>195</v>
      </c>
      <c r="C175" s="32" t="b">
        <v>0</v>
      </c>
      <c r="D175" s="32" t="s">
        <v>668</v>
      </c>
      <c r="E175" s="32" t="s">
        <v>890</v>
      </c>
      <c r="F175" s="32" t="s">
        <v>899</v>
      </c>
      <c r="G175" s="32" t="s">
        <v>81</v>
      </c>
      <c r="H175" s="65" t="s">
        <v>670</v>
      </c>
      <c r="I175" s="33"/>
      <c r="J175" s="33"/>
      <c r="K175" s="33"/>
      <c r="L175" s="34"/>
      <c r="M175" s="6"/>
      <c r="N175" s="6"/>
      <c r="O175" s="6"/>
      <c r="P175" s="36"/>
      <c r="Q175" s="34"/>
      <c r="R175" s="34"/>
      <c r="S175" s="34"/>
      <c r="T175" s="37"/>
      <c r="U175" s="37"/>
      <c r="V175" s="38">
        <f>DATEDIF(Table1[[#This Row],[Sponsor*]],Table1[[#This Row],[Start Date*]],"d")</f>
        <v>0</v>
      </c>
      <c r="W175" s="62" t="e">
        <f>DATEDIF([1]!Table1[[#This Row],[Start Date*]],[1]!Table1[[#This Row],[End Date*]],"d")</f>
        <v>#VALUE!</v>
      </c>
      <c r="X175" s="39"/>
      <c r="Y175" s="34"/>
      <c r="Z175" s="34"/>
      <c r="AC175" s="34"/>
      <c r="AE175" s="34"/>
      <c r="AF175" s="40"/>
      <c r="AG175" s="34"/>
      <c r="AH175" s="34"/>
      <c r="AI175" s="34"/>
      <c r="AJ175" s="34"/>
      <c r="AK175" s="34">
        <f>SUBTOTAL(9,Table1[[#This Row],[Up Next Priority]:[Campus]])</f>
        <v>0</v>
      </c>
      <c r="AL175" s="52"/>
      <c r="AM175" s="42"/>
      <c r="AN175" s="43"/>
      <c r="AO175" s="44"/>
      <c r="AP175" s="44"/>
      <c r="AQ175" s="44"/>
      <c r="AR175" s="44"/>
      <c r="AS175" s="51"/>
      <c r="AT175" s="44"/>
      <c r="AU175" s="66">
        <f>SUM(Table1[[#This Row],[Org Impact Score]:[Tools]])</f>
        <v>0</v>
      </c>
      <c r="AV175" s="45"/>
      <c r="AW175" s="34"/>
      <c r="AX175" s="34"/>
      <c r="AY175" s="34"/>
    </row>
    <row r="176" spans="1:51">
      <c r="A176" s="31" t="s">
        <v>666</v>
      </c>
      <c r="B176" s="32" t="s">
        <v>195</v>
      </c>
      <c r="C176" s="32" t="b">
        <v>0</v>
      </c>
      <c r="D176" s="32" t="s">
        <v>665</v>
      </c>
      <c r="E176" s="32" t="s">
        <v>890</v>
      </c>
      <c r="F176" s="32" t="s">
        <v>899</v>
      </c>
      <c r="G176" s="32"/>
      <c r="H176" s="65" t="s">
        <v>667</v>
      </c>
      <c r="I176" s="33"/>
      <c r="J176" s="33"/>
      <c r="K176" s="33"/>
      <c r="L176" s="34"/>
      <c r="M176" s="6"/>
      <c r="N176" s="6"/>
      <c r="O176" s="6"/>
      <c r="P176" s="36"/>
      <c r="Q176" s="34"/>
      <c r="R176" s="34"/>
      <c r="S176" s="34"/>
      <c r="T176" s="37"/>
      <c r="U176" s="37"/>
      <c r="V176" s="38">
        <f>DATEDIF(Table1[[#This Row],[Sponsor*]],Table1[[#This Row],[Start Date*]],"d")</f>
        <v>0</v>
      </c>
      <c r="W176" s="62" t="e">
        <f>DATEDIF([1]!Table1[[#This Row],[Start Date*]],[1]!Table1[[#This Row],[End Date*]],"d")</f>
        <v>#VALUE!</v>
      </c>
      <c r="X176" s="39"/>
      <c r="Y176" s="34"/>
      <c r="Z176" s="34"/>
      <c r="AC176" s="34"/>
      <c r="AE176" s="34"/>
      <c r="AF176" s="40"/>
      <c r="AG176" s="34"/>
      <c r="AH176" s="34"/>
      <c r="AI176" s="34"/>
      <c r="AJ176" s="34"/>
      <c r="AK176" s="34">
        <f>SUBTOTAL(9,Table1[[#This Row],[Up Next Priority]:[Campus]])</f>
        <v>0</v>
      </c>
      <c r="AL176" s="52"/>
      <c r="AM176" s="42"/>
      <c r="AN176" s="43"/>
      <c r="AO176" s="44"/>
      <c r="AP176" s="44"/>
      <c r="AQ176" s="44"/>
      <c r="AR176" s="44"/>
      <c r="AS176" s="51"/>
      <c r="AT176" s="44"/>
      <c r="AU176" s="66">
        <f>SUM(Table1[[#This Row],[Org Impact Score]:[Tools]])</f>
        <v>0</v>
      </c>
      <c r="AV176" s="45"/>
      <c r="AW176" s="34"/>
      <c r="AX176" s="34"/>
      <c r="AY176" s="34"/>
    </row>
    <row r="177" spans="1:51">
      <c r="A177" s="31" t="s">
        <v>663</v>
      </c>
      <c r="B177" s="32" t="s">
        <v>195</v>
      </c>
      <c r="C177" s="32" t="b">
        <v>0</v>
      </c>
      <c r="D177" s="32" t="s">
        <v>662</v>
      </c>
      <c r="E177" s="32" t="s">
        <v>890</v>
      </c>
      <c r="F177" s="32" t="s">
        <v>899</v>
      </c>
      <c r="G177" s="32"/>
      <c r="H177" s="65" t="s">
        <v>664</v>
      </c>
      <c r="I177" s="33"/>
      <c r="J177" s="33"/>
      <c r="K177" s="33"/>
      <c r="L177" s="34"/>
      <c r="M177" s="6"/>
      <c r="N177" s="6"/>
      <c r="O177" s="6"/>
      <c r="P177" s="36"/>
      <c r="Q177" s="34"/>
      <c r="R177" s="34"/>
      <c r="S177" s="34"/>
      <c r="T177" s="37"/>
      <c r="U177" s="37"/>
      <c r="V177" s="38">
        <f>DATEDIF(Table1[[#This Row],[Sponsor*]],Table1[[#This Row],[Start Date*]],"d")</f>
        <v>0</v>
      </c>
      <c r="W177" s="62" t="e">
        <f>DATEDIF([1]!Table1[[#This Row],[Start Date*]],[1]!Table1[[#This Row],[End Date*]],"d")</f>
        <v>#VALUE!</v>
      </c>
      <c r="X177" s="39"/>
      <c r="Y177" s="34"/>
      <c r="Z177" s="34"/>
      <c r="AC177" s="34"/>
      <c r="AE177" s="34"/>
      <c r="AF177" s="40"/>
      <c r="AG177" s="34"/>
      <c r="AH177" s="34"/>
      <c r="AI177" s="34"/>
      <c r="AJ177" s="34"/>
      <c r="AK177" s="34">
        <f>SUBTOTAL(9,Table1[[#This Row],[Up Next Priority]:[Campus]])</f>
        <v>0</v>
      </c>
      <c r="AL177" s="52"/>
      <c r="AM177" s="42"/>
      <c r="AN177" s="43"/>
      <c r="AO177" s="44"/>
      <c r="AP177" s="44"/>
      <c r="AQ177" s="44"/>
      <c r="AR177" s="44"/>
      <c r="AS177" s="51"/>
      <c r="AT177" s="44"/>
      <c r="AU177" s="66">
        <f>SUM(Table1[[#This Row],[Org Impact Score]:[Tools]])</f>
        <v>0</v>
      </c>
      <c r="AV177" s="45"/>
      <c r="AW177" s="34"/>
      <c r="AX177" s="34"/>
      <c r="AY177" s="34"/>
    </row>
    <row r="178" spans="1:51">
      <c r="A178" s="31" t="s">
        <v>660</v>
      </c>
      <c r="B178" s="32" t="s">
        <v>195</v>
      </c>
      <c r="C178" s="32" t="b">
        <v>0</v>
      </c>
      <c r="D178" s="32" t="s">
        <v>659</v>
      </c>
      <c r="E178" s="32" t="s">
        <v>890</v>
      </c>
      <c r="F178" s="32" t="s">
        <v>899</v>
      </c>
      <c r="G178" s="32"/>
      <c r="H178" s="65" t="s">
        <v>661</v>
      </c>
      <c r="I178" s="33"/>
      <c r="J178" s="33"/>
      <c r="K178" s="33"/>
      <c r="L178" s="34"/>
      <c r="M178" s="6"/>
      <c r="N178" s="6"/>
      <c r="O178" s="6"/>
      <c r="P178" s="36"/>
      <c r="Q178" s="34"/>
      <c r="R178" s="34"/>
      <c r="S178" s="34"/>
      <c r="T178" s="37"/>
      <c r="U178" s="37"/>
      <c r="V178" s="38">
        <f>DATEDIF(Table1[[#This Row],[Sponsor*]],Table1[[#This Row],[Start Date*]],"d")</f>
        <v>0</v>
      </c>
      <c r="W178" s="62" t="e">
        <f>DATEDIF([1]!Table1[[#This Row],[Start Date*]],[1]!Table1[[#This Row],[End Date*]],"d")</f>
        <v>#VALUE!</v>
      </c>
      <c r="X178" s="39"/>
      <c r="Y178" s="34"/>
      <c r="Z178" s="34"/>
      <c r="AC178" s="34"/>
      <c r="AE178" s="34"/>
      <c r="AF178" s="40"/>
      <c r="AG178" s="34"/>
      <c r="AH178" s="34"/>
      <c r="AI178" s="34"/>
      <c r="AJ178" s="34"/>
      <c r="AK178" s="34">
        <f>SUBTOTAL(9,Table1[[#This Row],[Up Next Priority]:[Campus]])</f>
        <v>0</v>
      </c>
      <c r="AL178" s="52"/>
      <c r="AM178" s="42"/>
      <c r="AN178" s="43"/>
      <c r="AO178" s="44"/>
      <c r="AP178" s="44"/>
      <c r="AQ178" s="44"/>
      <c r="AR178" s="44"/>
      <c r="AS178" s="51"/>
      <c r="AT178" s="44"/>
      <c r="AU178" s="66">
        <f>SUM(Table1[[#This Row],[Org Impact Score]:[Tools]])</f>
        <v>0</v>
      </c>
      <c r="AV178" s="45"/>
      <c r="AW178" s="34"/>
      <c r="AX178" s="34"/>
      <c r="AY178" s="34"/>
    </row>
    <row r="179" spans="1:51">
      <c r="A179" s="31" t="s">
        <v>657</v>
      </c>
      <c r="B179" s="32" t="s">
        <v>195</v>
      </c>
      <c r="C179" s="32" t="b">
        <v>0</v>
      </c>
      <c r="D179" s="32" t="s">
        <v>656</v>
      </c>
      <c r="E179" s="32" t="s">
        <v>890</v>
      </c>
      <c r="F179" s="32" t="s">
        <v>899</v>
      </c>
      <c r="G179" s="32" t="s">
        <v>905</v>
      </c>
      <c r="H179" s="65" t="s">
        <v>658</v>
      </c>
      <c r="I179" s="33"/>
      <c r="J179" s="33"/>
      <c r="K179" s="33"/>
      <c r="L179" s="34"/>
      <c r="M179" s="6"/>
      <c r="N179" s="6"/>
      <c r="O179" s="6"/>
      <c r="P179" s="36"/>
      <c r="Q179" s="34"/>
      <c r="R179" s="34"/>
      <c r="S179" s="34"/>
      <c r="T179" s="37"/>
      <c r="U179" s="37"/>
      <c r="V179" s="38">
        <f>DATEDIF(Table1[[#This Row],[Sponsor*]],Table1[[#This Row],[Start Date*]],"d")</f>
        <v>0</v>
      </c>
      <c r="W179" s="62" t="e">
        <f>DATEDIF([1]!Table1[[#This Row],[Start Date*]],[1]!Table1[[#This Row],[End Date*]],"d")</f>
        <v>#VALUE!</v>
      </c>
      <c r="X179" s="39"/>
      <c r="Y179" s="34"/>
      <c r="Z179" s="34"/>
      <c r="AC179" s="34"/>
      <c r="AE179" s="34"/>
      <c r="AF179" s="40"/>
      <c r="AG179" s="34"/>
      <c r="AH179" s="34"/>
      <c r="AI179" s="34"/>
      <c r="AJ179" s="34"/>
      <c r="AK179" s="34">
        <f>SUBTOTAL(9,Table1[[#This Row],[Up Next Priority]:[Campus]])</f>
        <v>0</v>
      </c>
      <c r="AL179" s="52"/>
      <c r="AM179" s="42"/>
      <c r="AN179" s="43"/>
      <c r="AO179" s="44"/>
      <c r="AP179" s="44"/>
      <c r="AQ179" s="44"/>
      <c r="AR179" s="44"/>
      <c r="AS179" s="51"/>
      <c r="AT179" s="44"/>
      <c r="AU179" s="66">
        <f>SUM(Table1[[#This Row],[Org Impact Score]:[Tools]])</f>
        <v>0</v>
      </c>
      <c r="AV179" s="45"/>
      <c r="AW179" s="34"/>
      <c r="AX179" s="34"/>
      <c r="AY179" s="34"/>
    </row>
    <row r="180" spans="1:51">
      <c r="A180" s="31" t="s">
        <v>654</v>
      </c>
      <c r="B180" s="32" t="s">
        <v>195</v>
      </c>
      <c r="C180" s="32" t="b">
        <v>0</v>
      </c>
      <c r="D180" s="32" t="s">
        <v>653</v>
      </c>
      <c r="E180" s="32" t="s">
        <v>890</v>
      </c>
      <c r="F180" s="32" t="s">
        <v>899</v>
      </c>
      <c r="G180" s="32" t="s">
        <v>76</v>
      </c>
      <c r="H180" s="65" t="s">
        <v>655</v>
      </c>
      <c r="I180" s="33"/>
      <c r="J180" s="33"/>
      <c r="K180" s="33"/>
      <c r="L180" s="34"/>
      <c r="M180" s="6"/>
      <c r="N180" s="6"/>
      <c r="O180" s="6"/>
      <c r="P180" s="36"/>
      <c r="Q180" s="34"/>
      <c r="R180" s="34"/>
      <c r="S180" s="34"/>
      <c r="T180" s="37"/>
      <c r="U180" s="37"/>
      <c r="V180" s="38">
        <f>DATEDIF(Table1[[#This Row],[Sponsor*]],Table1[[#This Row],[Start Date*]],"d")</f>
        <v>0</v>
      </c>
      <c r="W180" s="62" t="e">
        <f>DATEDIF([1]!Table1[[#This Row],[Start Date*]],[1]!Table1[[#This Row],[End Date*]],"d")</f>
        <v>#VALUE!</v>
      </c>
      <c r="X180" s="39"/>
      <c r="Y180" s="34"/>
      <c r="Z180" s="34"/>
      <c r="AC180" s="34"/>
      <c r="AE180" s="34"/>
      <c r="AF180" s="40"/>
      <c r="AG180" s="34"/>
      <c r="AH180" s="34"/>
      <c r="AI180" s="34"/>
      <c r="AJ180" s="34"/>
      <c r="AK180" s="34">
        <f>SUBTOTAL(9,Table1[[#This Row],[Up Next Priority]:[Campus]])</f>
        <v>0</v>
      </c>
      <c r="AL180" s="52"/>
      <c r="AM180" s="42"/>
      <c r="AN180" s="43"/>
      <c r="AO180" s="44"/>
      <c r="AP180" s="44"/>
      <c r="AQ180" s="44"/>
      <c r="AR180" s="44"/>
      <c r="AS180" s="51"/>
      <c r="AT180" s="44"/>
      <c r="AU180" s="66">
        <f>SUM(Table1[[#This Row],[Org Impact Score]:[Tools]])</f>
        <v>0</v>
      </c>
      <c r="AV180" s="45"/>
      <c r="AW180" s="34"/>
      <c r="AX180" s="34"/>
      <c r="AY180" s="34"/>
    </row>
    <row r="181" spans="1:51">
      <c r="A181" s="31" t="s">
        <v>651</v>
      </c>
      <c r="B181" s="32" t="s">
        <v>195</v>
      </c>
      <c r="C181" s="32" t="b">
        <v>0</v>
      </c>
      <c r="D181" s="32" t="s">
        <v>650</v>
      </c>
      <c r="E181" s="32" t="s">
        <v>890</v>
      </c>
      <c r="F181" s="32" t="s">
        <v>899</v>
      </c>
      <c r="G181" s="32" t="s">
        <v>76</v>
      </c>
      <c r="H181" s="65" t="s">
        <v>652</v>
      </c>
      <c r="I181" s="33"/>
      <c r="J181" s="33"/>
      <c r="K181" s="33"/>
      <c r="L181" s="34"/>
      <c r="M181" s="6"/>
      <c r="N181" s="6"/>
      <c r="O181" s="6"/>
      <c r="P181" s="36"/>
      <c r="Q181" s="34"/>
      <c r="R181" s="34"/>
      <c r="S181" s="34"/>
      <c r="T181" s="37"/>
      <c r="U181" s="37"/>
      <c r="V181" s="38">
        <f>DATEDIF(Table1[[#This Row],[Sponsor*]],Table1[[#This Row],[Start Date*]],"d")</f>
        <v>0</v>
      </c>
      <c r="W181" s="62" t="e">
        <f>DATEDIF([1]!Table1[[#This Row],[Start Date*]],[1]!Table1[[#This Row],[End Date*]],"d")</f>
        <v>#VALUE!</v>
      </c>
      <c r="X181" s="39"/>
      <c r="Y181" s="34"/>
      <c r="Z181" s="34"/>
      <c r="AC181" s="34"/>
      <c r="AE181" s="34"/>
      <c r="AF181" s="40"/>
      <c r="AG181" s="34"/>
      <c r="AH181" s="34"/>
      <c r="AI181" s="34"/>
      <c r="AJ181" s="34"/>
      <c r="AK181" s="34">
        <f>SUBTOTAL(9,Table1[[#This Row],[Up Next Priority]:[Campus]])</f>
        <v>0</v>
      </c>
      <c r="AL181" s="52"/>
      <c r="AM181" s="42"/>
      <c r="AN181" s="43"/>
      <c r="AO181" s="44"/>
      <c r="AP181" s="44"/>
      <c r="AQ181" s="44"/>
      <c r="AR181" s="44"/>
      <c r="AS181" s="51"/>
      <c r="AT181" s="44"/>
      <c r="AU181" s="66">
        <f>SUM(Table1[[#This Row],[Org Impact Score]:[Tools]])</f>
        <v>0</v>
      </c>
      <c r="AV181" s="45"/>
      <c r="AW181" s="34"/>
      <c r="AX181" s="34"/>
      <c r="AY181" s="34"/>
    </row>
    <row r="182" spans="1:51">
      <c r="A182" s="31" t="s">
        <v>648</v>
      </c>
      <c r="B182" s="32" t="s">
        <v>195</v>
      </c>
      <c r="C182" s="32" t="b">
        <v>0</v>
      </c>
      <c r="D182" s="32" t="s">
        <v>647</v>
      </c>
      <c r="E182" s="32" t="s">
        <v>890</v>
      </c>
      <c r="F182" s="32" t="s">
        <v>899</v>
      </c>
      <c r="G182" s="32" t="s">
        <v>76</v>
      </c>
      <c r="H182" s="65" t="s">
        <v>649</v>
      </c>
      <c r="I182" s="33"/>
      <c r="J182" s="33"/>
      <c r="K182" s="33"/>
      <c r="L182" s="34"/>
      <c r="M182" s="6"/>
      <c r="N182" s="6"/>
      <c r="O182" s="6"/>
      <c r="P182" s="36"/>
      <c r="Q182" s="34"/>
      <c r="R182" s="34"/>
      <c r="S182" s="34"/>
      <c r="T182" s="37"/>
      <c r="U182" s="37"/>
      <c r="V182" s="38">
        <f>DATEDIF(Table1[[#This Row],[Sponsor*]],Table1[[#This Row],[Start Date*]],"d")</f>
        <v>0</v>
      </c>
      <c r="W182" s="62" t="e">
        <f>DATEDIF([1]!Table1[[#This Row],[Start Date*]],[1]!Table1[[#This Row],[End Date*]],"d")</f>
        <v>#VALUE!</v>
      </c>
      <c r="X182" s="39"/>
      <c r="Y182" s="34"/>
      <c r="Z182" s="34"/>
      <c r="AC182" s="34"/>
      <c r="AE182" s="34"/>
      <c r="AF182" s="40"/>
      <c r="AG182" s="34"/>
      <c r="AH182" s="34"/>
      <c r="AI182" s="34"/>
      <c r="AJ182" s="34"/>
      <c r="AK182" s="34">
        <f>SUBTOTAL(9,Table1[[#This Row],[Up Next Priority]:[Campus]])</f>
        <v>0</v>
      </c>
      <c r="AL182" s="52"/>
      <c r="AM182" s="42"/>
      <c r="AN182" s="43"/>
      <c r="AO182" s="44"/>
      <c r="AP182" s="44"/>
      <c r="AQ182" s="44"/>
      <c r="AR182" s="44"/>
      <c r="AS182" s="51"/>
      <c r="AT182" s="44"/>
      <c r="AU182" s="66">
        <f>SUM(Table1[[#This Row],[Org Impact Score]:[Tools]])</f>
        <v>0</v>
      </c>
      <c r="AV182" s="45"/>
      <c r="AW182" s="34"/>
      <c r="AX182" s="34"/>
      <c r="AY182" s="34"/>
    </row>
    <row r="183" spans="1:51">
      <c r="A183" s="31" t="s">
        <v>645</v>
      </c>
      <c r="B183" s="32" t="s">
        <v>195</v>
      </c>
      <c r="C183" s="32" t="b">
        <v>0</v>
      </c>
      <c r="D183" s="32" t="s">
        <v>644</v>
      </c>
      <c r="E183" s="32" t="s">
        <v>890</v>
      </c>
      <c r="F183" s="32" t="s">
        <v>899</v>
      </c>
      <c r="G183" s="32" t="s">
        <v>913</v>
      </c>
      <c r="H183" s="65" t="s">
        <v>646</v>
      </c>
      <c r="I183" s="33"/>
      <c r="J183" s="33"/>
      <c r="K183" s="33"/>
      <c r="L183" s="34"/>
      <c r="M183" s="6"/>
      <c r="N183" s="6"/>
      <c r="O183" s="6"/>
      <c r="P183" s="36"/>
      <c r="Q183" s="34"/>
      <c r="R183" s="34"/>
      <c r="S183" s="34"/>
      <c r="T183" s="37"/>
      <c r="U183" s="37"/>
      <c r="V183" s="38">
        <f>DATEDIF(Table1[[#This Row],[Sponsor*]],Table1[[#This Row],[Start Date*]],"d")</f>
        <v>0</v>
      </c>
      <c r="W183" s="62" t="e">
        <f>DATEDIF([1]!Table1[[#This Row],[Start Date*]],[1]!Table1[[#This Row],[End Date*]],"d")</f>
        <v>#VALUE!</v>
      </c>
      <c r="X183" s="39"/>
      <c r="Y183" s="34"/>
      <c r="Z183" s="34"/>
      <c r="AC183" s="34"/>
      <c r="AE183" s="34"/>
      <c r="AF183" s="40"/>
      <c r="AG183" s="34"/>
      <c r="AH183" s="34"/>
      <c r="AI183" s="34"/>
      <c r="AJ183" s="34"/>
      <c r="AK183" s="34">
        <f>SUBTOTAL(9,Table1[[#This Row],[Up Next Priority]:[Campus]])</f>
        <v>0</v>
      </c>
      <c r="AL183" s="52"/>
      <c r="AM183" s="42"/>
      <c r="AN183" s="43"/>
      <c r="AO183" s="44"/>
      <c r="AP183" s="44"/>
      <c r="AQ183" s="44"/>
      <c r="AR183" s="44"/>
      <c r="AS183" s="51"/>
      <c r="AT183" s="44"/>
      <c r="AU183" s="66">
        <f>SUM(Table1[[#This Row],[Org Impact Score]:[Tools]])</f>
        <v>0</v>
      </c>
      <c r="AV183" s="45"/>
      <c r="AW183" s="34"/>
      <c r="AX183" s="34"/>
      <c r="AY183" s="34"/>
    </row>
    <row r="184" spans="1:51">
      <c r="A184" s="31" t="s">
        <v>642</v>
      </c>
      <c r="B184" s="32" t="s">
        <v>195</v>
      </c>
      <c r="C184" s="32" t="b">
        <v>0</v>
      </c>
      <c r="D184" s="32" t="s">
        <v>641</v>
      </c>
      <c r="E184" s="32" t="s">
        <v>890</v>
      </c>
      <c r="F184" s="32" t="s">
        <v>898</v>
      </c>
      <c r="G184" s="32" t="s">
        <v>913</v>
      </c>
      <c r="H184" s="65" t="s">
        <v>643</v>
      </c>
      <c r="I184" s="33"/>
      <c r="J184" s="33"/>
      <c r="K184" s="33"/>
      <c r="L184" s="34"/>
      <c r="M184" s="6"/>
      <c r="N184" s="6"/>
      <c r="O184" s="6"/>
      <c r="P184" s="36"/>
      <c r="Q184" s="34"/>
      <c r="R184" s="34"/>
      <c r="S184" s="34"/>
      <c r="T184" s="37"/>
      <c r="U184" s="37"/>
      <c r="V184" s="38">
        <f>DATEDIF(Table1[[#This Row],[Sponsor*]],Table1[[#This Row],[Start Date*]],"d")</f>
        <v>0</v>
      </c>
      <c r="W184" s="62" t="e">
        <f>DATEDIF([1]!Table1[[#This Row],[Start Date*]],[1]!Table1[[#This Row],[End Date*]],"d")</f>
        <v>#VALUE!</v>
      </c>
      <c r="X184" s="39"/>
      <c r="Y184" s="34"/>
      <c r="Z184" s="34"/>
      <c r="AC184" s="34"/>
      <c r="AE184" s="34"/>
      <c r="AF184" s="40"/>
      <c r="AG184" s="34"/>
      <c r="AH184" s="34"/>
      <c r="AI184" s="34"/>
      <c r="AJ184" s="34"/>
      <c r="AK184" s="34">
        <f>SUBTOTAL(9,Table1[[#This Row],[Up Next Priority]:[Campus]])</f>
        <v>0</v>
      </c>
      <c r="AL184" s="52"/>
      <c r="AM184" s="42"/>
      <c r="AN184" s="43"/>
      <c r="AO184" s="44"/>
      <c r="AP184" s="44"/>
      <c r="AQ184" s="44"/>
      <c r="AR184" s="44"/>
      <c r="AS184" s="51"/>
      <c r="AT184" s="44"/>
      <c r="AU184" s="66">
        <f>SUM(Table1[[#This Row],[Org Impact Score]:[Tools]])</f>
        <v>0</v>
      </c>
      <c r="AV184" s="45"/>
      <c r="AW184" s="34"/>
      <c r="AX184" s="34"/>
      <c r="AY184" s="34"/>
    </row>
    <row r="185" spans="1:51">
      <c r="A185" s="31" t="s">
        <v>639</v>
      </c>
      <c r="B185" s="32" t="s">
        <v>195</v>
      </c>
      <c r="C185" s="32" t="b">
        <v>0</v>
      </c>
      <c r="D185" s="32" t="s">
        <v>638</v>
      </c>
      <c r="E185" s="32" t="s">
        <v>890</v>
      </c>
      <c r="F185" s="32" t="s">
        <v>898</v>
      </c>
      <c r="G185" s="32"/>
      <c r="H185" s="65" t="s">
        <v>640</v>
      </c>
      <c r="I185" s="33"/>
      <c r="J185" s="33"/>
      <c r="K185" s="33"/>
      <c r="L185" s="34"/>
      <c r="M185" s="6"/>
      <c r="N185" s="6"/>
      <c r="O185" s="6"/>
      <c r="P185" s="36"/>
      <c r="Q185" s="34"/>
      <c r="R185" s="34"/>
      <c r="S185" s="34"/>
      <c r="T185" s="37"/>
      <c r="U185" s="37"/>
      <c r="V185" s="38">
        <f>DATEDIF(Table1[[#This Row],[Sponsor*]],Table1[[#This Row],[Start Date*]],"d")</f>
        <v>0</v>
      </c>
      <c r="W185" s="62" t="e">
        <f>DATEDIF([1]!Table1[[#This Row],[Start Date*]],[1]!Table1[[#This Row],[End Date*]],"d")</f>
        <v>#VALUE!</v>
      </c>
      <c r="X185" s="39"/>
      <c r="Y185" s="34"/>
      <c r="Z185" s="34"/>
      <c r="AC185" s="34"/>
      <c r="AE185" s="34"/>
      <c r="AF185" s="40"/>
      <c r="AG185" s="34"/>
      <c r="AH185" s="34"/>
      <c r="AI185" s="34"/>
      <c r="AJ185" s="34"/>
      <c r="AK185" s="34">
        <f>SUBTOTAL(9,Table1[[#This Row],[Up Next Priority]:[Campus]])</f>
        <v>0</v>
      </c>
      <c r="AL185" s="52"/>
      <c r="AM185" s="42"/>
      <c r="AN185" s="43"/>
      <c r="AO185" s="44"/>
      <c r="AP185" s="44"/>
      <c r="AQ185" s="44"/>
      <c r="AR185" s="44"/>
      <c r="AS185" s="51"/>
      <c r="AT185" s="44"/>
      <c r="AU185" s="66">
        <f>SUM(Table1[[#This Row],[Org Impact Score]:[Tools]])</f>
        <v>0</v>
      </c>
      <c r="AV185" s="45"/>
      <c r="AW185" s="34"/>
      <c r="AX185" s="34"/>
      <c r="AY185" s="34"/>
    </row>
    <row r="186" spans="1:51">
      <c r="A186" s="31" t="s">
        <v>636</v>
      </c>
      <c r="B186" s="32" t="s">
        <v>195</v>
      </c>
      <c r="C186" s="32" t="b">
        <v>0</v>
      </c>
      <c r="D186" s="32" t="s">
        <v>635</v>
      </c>
      <c r="E186" s="32" t="s">
        <v>890</v>
      </c>
      <c r="F186" s="32" t="s">
        <v>898</v>
      </c>
      <c r="G186" s="32"/>
      <c r="H186" s="65" t="s">
        <v>637</v>
      </c>
      <c r="I186" s="33"/>
      <c r="J186" s="33"/>
      <c r="K186" s="33"/>
      <c r="L186" s="34"/>
      <c r="M186" s="6"/>
      <c r="N186" s="6"/>
      <c r="O186" s="6"/>
      <c r="P186" s="36"/>
      <c r="Q186" s="34"/>
      <c r="R186" s="34"/>
      <c r="S186" s="34"/>
      <c r="T186" s="37"/>
      <c r="U186" s="37"/>
      <c r="V186" s="38">
        <f>DATEDIF(Table1[[#This Row],[Sponsor*]],Table1[[#This Row],[Start Date*]],"d")</f>
        <v>0</v>
      </c>
      <c r="W186" s="62" t="e">
        <f>DATEDIF([1]!Table1[[#This Row],[Start Date*]],[1]!Table1[[#This Row],[End Date*]],"d")</f>
        <v>#VALUE!</v>
      </c>
      <c r="X186" s="39"/>
      <c r="Y186" s="34"/>
      <c r="Z186" s="34"/>
      <c r="AC186" s="34"/>
      <c r="AE186" s="34"/>
      <c r="AF186" s="40"/>
      <c r="AG186" s="34"/>
      <c r="AH186" s="34"/>
      <c r="AI186" s="34"/>
      <c r="AJ186" s="34"/>
      <c r="AK186" s="34">
        <f>SUBTOTAL(9,Table1[[#This Row],[Up Next Priority]:[Campus]])</f>
        <v>0</v>
      </c>
      <c r="AL186" s="52"/>
      <c r="AM186" s="42"/>
      <c r="AN186" s="43"/>
      <c r="AO186" s="44"/>
      <c r="AP186" s="44"/>
      <c r="AQ186" s="44"/>
      <c r="AR186" s="44"/>
      <c r="AS186" s="51"/>
      <c r="AT186" s="44"/>
      <c r="AU186" s="66">
        <f>SUM(Table1[[#This Row],[Org Impact Score]:[Tools]])</f>
        <v>0</v>
      </c>
      <c r="AV186" s="45"/>
      <c r="AW186" s="34"/>
      <c r="AX186" s="34"/>
      <c r="AY186" s="34"/>
    </row>
    <row r="187" spans="1:51">
      <c r="A187" s="31" t="s">
        <v>633</v>
      </c>
      <c r="B187" s="32" t="s">
        <v>195</v>
      </c>
      <c r="C187" s="32" t="b">
        <v>0</v>
      </c>
      <c r="D187" s="32" t="s">
        <v>632</v>
      </c>
      <c r="E187" s="32" t="s">
        <v>890</v>
      </c>
      <c r="F187" s="32" t="s">
        <v>898</v>
      </c>
      <c r="G187" s="32"/>
      <c r="H187" s="65" t="s">
        <v>634</v>
      </c>
      <c r="I187" s="33"/>
      <c r="J187" s="33"/>
      <c r="K187" s="33"/>
      <c r="L187" s="34"/>
      <c r="M187" s="6"/>
      <c r="N187" s="6"/>
      <c r="O187" s="6"/>
      <c r="P187" s="36"/>
      <c r="Q187" s="34"/>
      <c r="R187" s="34"/>
      <c r="S187" s="34"/>
      <c r="T187" s="37"/>
      <c r="U187" s="37"/>
      <c r="V187" s="38">
        <f>DATEDIF(Table1[[#This Row],[Sponsor*]],Table1[[#This Row],[Start Date*]],"d")</f>
        <v>0</v>
      </c>
      <c r="W187" s="62" t="e">
        <f>DATEDIF([1]!Table1[[#This Row],[Start Date*]],[1]!Table1[[#This Row],[End Date*]],"d")</f>
        <v>#VALUE!</v>
      </c>
      <c r="X187" s="39"/>
      <c r="Y187" s="34"/>
      <c r="Z187" s="34"/>
      <c r="AC187" s="34"/>
      <c r="AE187" s="34"/>
      <c r="AF187" s="40"/>
      <c r="AG187" s="34"/>
      <c r="AH187" s="34"/>
      <c r="AI187" s="34"/>
      <c r="AJ187" s="34"/>
      <c r="AK187" s="34">
        <f>SUBTOTAL(9,Table1[[#This Row],[Up Next Priority]:[Campus]])</f>
        <v>0</v>
      </c>
      <c r="AL187" s="52"/>
      <c r="AM187" s="42"/>
      <c r="AN187" s="43"/>
      <c r="AO187" s="44"/>
      <c r="AP187" s="44"/>
      <c r="AQ187" s="44"/>
      <c r="AR187" s="44"/>
      <c r="AS187" s="51"/>
      <c r="AT187" s="44"/>
      <c r="AU187" s="66">
        <f>SUM(Table1[[#This Row],[Org Impact Score]:[Tools]])</f>
        <v>0</v>
      </c>
      <c r="AV187" s="45"/>
      <c r="AW187" s="34"/>
      <c r="AX187" s="34"/>
      <c r="AY187" s="34"/>
    </row>
    <row r="188" spans="1:51">
      <c r="A188" s="31" t="s">
        <v>630</v>
      </c>
      <c r="B188" s="32" t="s">
        <v>195</v>
      </c>
      <c r="C188" s="32" t="b">
        <v>0</v>
      </c>
      <c r="D188" s="32" t="s">
        <v>629</v>
      </c>
      <c r="E188" s="32" t="s">
        <v>890</v>
      </c>
      <c r="F188" s="32" t="s">
        <v>898</v>
      </c>
      <c r="G188" s="32"/>
      <c r="H188" s="65" t="s">
        <v>631</v>
      </c>
      <c r="I188" s="33"/>
      <c r="J188" s="33"/>
      <c r="K188" s="33"/>
      <c r="L188" s="34"/>
      <c r="M188" s="6"/>
      <c r="N188" s="6"/>
      <c r="O188" s="6"/>
      <c r="P188" s="36"/>
      <c r="Q188" s="34"/>
      <c r="R188" s="34"/>
      <c r="S188" s="34"/>
      <c r="T188" s="37"/>
      <c r="U188" s="37"/>
      <c r="V188" s="38">
        <f>DATEDIF(Table1[[#This Row],[Sponsor*]],Table1[[#This Row],[Start Date*]],"d")</f>
        <v>0</v>
      </c>
      <c r="W188" s="62" t="e">
        <f>DATEDIF([1]!Table1[[#This Row],[Start Date*]],[1]!Table1[[#This Row],[End Date*]],"d")</f>
        <v>#VALUE!</v>
      </c>
      <c r="X188" s="39"/>
      <c r="Y188" s="34"/>
      <c r="Z188" s="34"/>
      <c r="AC188" s="34"/>
      <c r="AE188" s="34"/>
      <c r="AF188" s="40"/>
      <c r="AG188" s="34"/>
      <c r="AH188" s="34"/>
      <c r="AI188" s="34"/>
      <c r="AJ188" s="34"/>
      <c r="AK188" s="34">
        <f>SUBTOTAL(9,Table1[[#This Row],[Up Next Priority]:[Campus]])</f>
        <v>0</v>
      </c>
      <c r="AL188" s="52"/>
      <c r="AM188" s="42"/>
      <c r="AN188" s="43"/>
      <c r="AO188" s="44"/>
      <c r="AP188" s="44"/>
      <c r="AQ188" s="44"/>
      <c r="AR188" s="44"/>
      <c r="AS188" s="51"/>
      <c r="AT188" s="44"/>
      <c r="AU188" s="66">
        <f>SUM(Table1[[#This Row],[Org Impact Score]:[Tools]])</f>
        <v>0</v>
      </c>
      <c r="AV188" s="45"/>
      <c r="AW188" s="34"/>
      <c r="AX188" s="34"/>
      <c r="AY188" s="34"/>
    </row>
    <row r="189" spans="1:51">
      <c r="A189" s="31" t="s">
        <v>627</v>
      </c>
      <c r="B189" s="32" t="s">
        <v>195</v>
      </c>
      <c r="C189" s="32" t="b">
        <v>0</v>
      </c>
      <c r="D189" s="32" t="s">
        <v>626</v>
      </c>
      <c r="E189" s="32" t="s">
        <v>890</v>
      </c>
      <c r="F189" s="32" t="s">
        <v>898</v>
      </c>
      <c r="G189" s="32"/>
      <c r="H189" s="65" t="s">
        <v>628</v>
      </c>
      <c r="I189" s="33"/>
      <c r="J189" s="33"/>
      <c r="K189" s="33"/>
      <c r="L189" s="34"/>
      <c r="M189" s="6"/>
      <c r="N189" s="6"/>
      <c r="O189" s="6"/>
      <c r="P189" s="36"/>
      <c r="Q189" s="34"/>
      <c r="R189" s="34"/>
      <c r="S189" s="34"/>
      <c r="T189" s="37"/>
      <c r="U189" s="37"/>
      <c r="V189" s="38">
        <f>DATEDIF(Table1[[#This Row],[Sponsor*]],Table1[[#This Row],[Start Date*]],"d")</f>
        <v>0</v>
      </c>
      <c r="W189" s="62" t="e">
        <f>DATEDIF([1]!Table1[[#This Row],[Start Date*]],[1]!Table1[[#This Row],[End Date*]],"d")</f>
        <v>#VALUE!</v>
      </c>
      <c r="X189" s="39"/>
      <c r="Y189" s="34"/>
      <c r="Z189" s="34"/>
      <c r="AC189" s="34"/>
      <c r="AE189" s="34"/>
      <c r="AF189" s="40"/>
      <c r="AG189" s="34"/>
      <c r="AH189" s="34"/>
      <c r="AI189" s="34"/>
      <c r="AJ189" s="34"/>
      <c r="AK189" s="34">
        <f>SUBTOTAL(9,Table1[[#This Row],[Up Next Priority]:[Campus]])</f>
        <v>0</v>
      </c>
      <c r="AL189" s="52"/>
      <c r="AM189" s="42"/>
      <c r="AN189" s="43"/>
      <c r="AO189" s="44"/>
      <c r="AP189" s="44"/>
      <c r="AQ189" s="44"/>
      <c r="AR189" s="44"/>
      <c r="AS189" s="51"/>
      <c r="AT189" s="44"/>
      <c r="AU189" s="66">
        <f>SUM(Table1[[#This Row],[Org Impact Score]:[Tools]])</f>
        <v>0</v>
      </c>
      <c r="AV189" s="45"/>
      <c r="AW189" s="34"/>
      <c r="AX189" s="34"/>
      <c r="AY189" s="34"/>
    </row>
    <row r="190" spans="1:51">
      <c r="A190" s="31" t="s">
        <v>624</v>
      </c>
      <c r="B190" s="32" t="s">
        <v>195</v>
      </c>
      <c r="C190" s="32" t="b">
        <v>0</v>
      </c>
      <c r="D190" s="32" t="s">
        <v>623</v>
      </c>
      <c r="E190" s="32" t="s">
        <v>890</v>
      </c>
      <c r="F190" s="32" t="s">
        <v>898</v>
      </c>
      <c r="G190" s="32"/>
      <c r="H190" s="65" t="s">
        <v>625</v>
      </c>
      <c r="I190" s="33"/>
      <c r="J190" s="33"/>
      <c r="K190" s="33"/>
      <c r="L190" s="34"/>
      <c r="M190" s="6"/>
      <c r="N190" s="6"/>
      <c r="O190" s="6"/>
      <c r="P190" s="36"/>
      <c r="Q190" s="34"/>
      <c r="R190" s="34"/>
      <c r="S190" s="34"/>
      <c r="T190" s="37"/>
      <c r="U190" s="37"/>
      <c r="V190" s="38">
        <f>DATEDIF(Table1[[#This Row],[Sponsor*]],Table1[[#This Row],[Start Date*]],"d")</f>
        <v>0</v>
      </c>
      <c r="W190" s="62" t="e">
        <f>DATEDIF([1]!Table1[[#This Row],[Start Date*]],[1]!Table1[[#This Row],[End Date*]],"d")</f>
        <v>#VALUE!</v>
      </c>
      <c r="X190" s="39"/>
      <c r="Y190" s="34"/>
      <c r="Z190" s="34"/>
      <c r="AC190" s="34"/>
      <c r="AE190" s="34"/>
      <c r="AF190" s="40"/>
      <c r="AG190" s="34"/>
      <c r="AH190" s="34"/>
      <c r="AI190" s="34"/>
      <c r="AJ190" s="34"/>
      <c r="AK190" s="34">
        <f>SUBTOTAL(9,Table1[[#This Row],[Up Next Priority]:[Campus]])</f>
        <v>0</v>
      </c>
      <c r="AL190" s="52"/>
      <c r="AM190" s="42"/>
      <c r="AN190" s="43"/>
      <c r="AO190" s="44"/>
      <c r="AP190" s="44"/>
      <c r="AQ190" s="44"/>
      <c r="AR190" s="44"/>
      <c r="AS190" s="51"/>
      <c r="AT190" s="44"/>
      <c r="AU190" s="66">
        <f>SUM(Table1[[#This Row],[Org Impact Score]:[Tools]])</f>
        <v>0</v>
      </c>
      <c r="AV190" s="45"/>
      <c r="AW190" s="34"/>
      <c r="AX190" s="34"/>
      <c r="AY190" s="34"/>
    </row>
    <row r="191" spans="1:51">
      <c r="A191" s="31" t="s">
        <v>621</v>
      </c>
      <c r="B191" s="32" t="s">
        <v>195</v>
      </c>
      <c r="C191" s="32" t="b">
        <v>0</v>
      </c>
      <c r="D191" s="32" t="s">
        <v>620</v>
      </c>
      <c r="E191" s="32" t="s">
        <v>890</v>
      </c>
      <c r="F191" s="32" t="s">
        <v>898</v>
      </c>
      <c r="G191" s="32"/>
      <c r="H191" s="65" t="s">
        <v>622</v>
      </c>
      <c r="I191" s="33"/>
      <c r="J191" s="33"/>
      <c r="K191" s="33"/>
      <c r="L191" s="34"/>
      <c r="M191" s="6"/>
      <c r="N191" s="6"/>
      <c r="O191" s="6"/>
      <c r="P191" s="36"/>
      <c r="Q191" s="34"/>
      <c r="R191" s="34"/>
      <c r="S191" s="34"/>
      <c r="T191" s="37"/>
      <c r="U191" s="37"/>
      <c r="V191" s="38">
        <f>DATEDIF(Table1[[#This Row],[Sponsor*]],Table1[[#This Row],[Start Date*]],"d")</f>
        <v>0</v>
      </c>
      <c r="W191" s="62" t="e">
        <f>DATEDIF([1]!Table1[[#This Row],[Start Date*]],[1]!Table1[[#This Row],[End Date*]],"d")</f>
        <v>#VALUE!</v>
      </c>
      <c r="X191" s="39"/>
      <c r="Y191" s="34"/>
      <c r="Z191" s="34"/>
      <c r="AC191" s="34"/>
      <c r="AE191" s="34"/>
      <c r="AF191" s="40"/>
      <c r="AG191" s="34"/>
      <c r="AH191" s="34"/>
      <c r="AI191" s="34"/>
      <c r="AJ191" s="34"/>
      <c r="AK191" s="34">
        <f>SUBTOTAL(9,Table1[[#This Row],[Up Next Priority]:[Campus]])</f>
        <v>0</v>
      </c>
      <c r="AL191" s="52"/>
      <c r="AM191" s="42"/>
      <c r="AN191" s="43"/>
      <c r="AO191" s="44"/>
      <c r="AP191" s="44"/>
      <c r="AQ191" s="44"/>
      <c r="AR191" s="44"/>
      <c r="AS191" s="51"/>
      <c r="AT191" s="44"/>
      <c r="AU191" s="66">
        <f>SUM(Table1[[#This Row],[Org Impact Score]:[Tools]])</f>
        <v>0</v>
      </c>
      <c r="AV191" s="45"/>
      <c r="AW191" s="34"/>
      <c r="AX191" s="34"/>
      <c r="AY191" s="34"/>
    </row>
    <row r="192" spans="1:51">
      <c r="A192" s="31" t="s">
        <v>618</v>
      </c>
      <c r="B192" s="32" t="s">
        <v>195</v>
      </c>
      <c r="C192" s="32" t="b">
        <v>0</v>
      </c>
      <c r="D192" s="32" t="s">
        <v>617</v>
      </c>
      <c r="E192" s="32" t="s">
        <v>890</v>
      </c>
      <c r="F192" s="32" t="s">
        <v>898</v>
      </c>
      <c r="G192" s="32"/>
      <c r="H192" s="65" t="s">
        <v>619</v>
      </c>
      <c r="I192" s="33"/>
      <c r="J192" s="33"/>
      <c r="K192" s="33"/>
      <c r="L192" s="34"/>
      <c r="M192" s="6"/>
      <c r="N192" s="6"/>
      <c r="O192" s="6"/>
      <c r="P192" s="36"/>
      <c r="Q192" s="34"/>
      <c r="R192" s="34"/>
      <c r="S192" s="34"/>
      <c r="T192" s="37"/>
      <c r="U192" s="37"/>
      <c r="V192" s="38">
        <f>DATEDIF(Table1[[#This Row],[Sponsor*]],Table1[[#This Row],[Start Date*]],"d")</f>
        <v>0</v>
      </c>
      <c r="W192" s="62" t="e">
        <f>DATEDIF([1]!Table1[[#This Row],[Start Date*]],[1]!Table1[[#This Row],[End Date*]],"d")</f>
        <v>#VALUE!</v>
      </c>
      <c r="X192" s="39"/>
      <c r="Y192" s="34"/>
      <c r="Z192" s="34"/>
      <c r="AC192" s="34"/>
      <c r="AE192" s="34"/>
      <c r="AF192" s="40"/>
      <c r="AG192" s="34"/>
      <c r="AH192" s="34"/>
      <c r="AI192" s="34"/>
      <c r="AJ192" s="34"/>
      <c r="AK192" s="34">
        <f>SUBTOTAL(9,Table1[[#This Row],[Up Next Priority]:[Campus]])</f>
        <v>0</v>
      </c>
      <c r="AL192" s="52"/>
      <c r="AM192" s="42"/>
      <c r="AN192" s="43"/>
      <c r="AO192" s="44"/>
      <c r="AP192" s="44"/>
      <c r="AQ192" s="44"/>
      <c r="AR192" s="44"/>
      <c r="AS192" s="51"/>
      <c r="AT192" s="44"/>
      <c r="AU192" s="66">
        <f>SUM(Table1[[#This Row],[Org Impact Score]:[Tools]])</f>
        <v>0</v>
      </c>
      <c r="AV192" s="45"/>
      <c r="AW192" s="34"/>
      <c r="AX192" s="34"/>
      <c r="AY192" s="34"/>
    </row>
    <row r="193" spans="1:51">
      <c r="A193" s="31" t="s">
        <v>615</v>
      </c>
      <c r="B193" s="32" t="s">
        <v>195</v>
      </c>
      <c r="C193" s="32" t="b">
        <v>0</v>
      </c>
      <c r="D193" s="32" t="s">
        <v>614</v>
      </c>
      <c r="E193" s="32" t="s">
        <v>890</v>
      </c>
      <c r="F193" s="32" t="s">
        <v>898</v>
      </c>
      <c r="G193" s="32" t="s">
        <v>909</v>
      </c>
      <c r="H193" s="65" t="s">
        <v>616</v>
      </c>
      <c r="I193" s="33"/>
      <c r="J193" s="33"/>
      <c r="K193" s="33"/>
      <c r="L193" s="34"/>
      <c r="M193" s="6"/>
      <c r="N193" s="6"/>
      <c r="O193" s="6"/>
      <c r="P193" s="36"/>
      <c r="Q193" s="34"/>
      <c r="R193" s="34"/>
      <c r="S193" s="34"/>
      <c r="T193" s="37"/>
      <c r="U193" s="37"/>
      <c r="V193" s="38">
        <f>DATEDIF(Table1[[#This Row],[Sponsor*]],Table1[[#This Row],[Start Date*]],"d")</f>
        <v>0</v>
      </c>
      <c r="W193" s="62" t="e">
        <f>DATEDIF([1]!Table1[[#This Row],[Start Date*]],[1]!Table1[[#This Row],[End Date*]],"d")</f>
        <v>#VALUE!</v>
      </c>
      <c r="X193" s="39"/>
      <c r="Y193" s="34"/>
      <c r="Z193" s="34"/>
      <c r="AC193" s="34"/>
      <c r="AE193" s="34"/>
      <c r="AF193" s="40"/>
      <c r="AG193" s="34"/>
      <c r="AH193" s="34"/>
      <c r="AI193" s="34"/>
      <c r="AJ193" s="34"/>
      <c r="AK193" s="34">
        <f>SUBTOTAL(9,Table1[[#This Row],[Up Next Priority]:[Campus]])</f>
        <v>0</v>
      </c>
      <c r="AL193" s="52"/>
      <c r="AM193" s="42"/>
      <c r="AN193" s="43"/>
      <c r="AO193" s="44"/>
      <c r="AP193" s="44"/>
      <c r="AQ193" s="44"/>
      <c r="AR193" s="44"/>
      <c r="AS193" s="51"/>
      <c r="AT193" s="44"/>
      <c r="AU193" s="66">
        <f>SUM(Table1[[#This Row],[Org Impact Score]:[Tools]])</f>
        <v>0</v>
      </c>
      <c r="AV193" s="45"/>
      <c r="AW193" s="34"/>
      <c r="AX193" s="34"/>
      <c r="AY193" s="34"/>
    </row>
    <row r="194" spans="1:51">
      <c r="A194" s="31" t="s">
        <v>612</v>
      </c>
      <c r="B194" s="32" t="s">
        <v>195</v>
      </c>
      <c r="C194" s="32" t="b">
        <v>0</v>
      </c>
      <c r="D194" s="32" t="s">
        <v>611</v>
      </c>
      <c r="E194" s="32" t="s">
        <v>890</v>
      </c>
      <c r="F194" s="32" t="s">
        <v>898</v>
      </c>
      <c r="G194" s="32" t="s">
        <v>81</v>
      </c>
      <c r="H194" s="65" t="s">
        <v>613</v>
      </c>
      <c r="I194" s="33"/>
      <c r="J194" s="33"/>
      <c r="K194" s="33"/>
      <c r="L194" s="34"/>
      <c r="M194" s="6"/>
      <c r="N194" s="6"/>
      <c r="O194" s="6"/>
      <c r="P194" s="36"/>
      <c r="Q194" s="34"/>
      <c r="R194" s="34"/>
      <c r="S194" s="34"/>
      <c r="T194" s="37"/>
      <c r="U194" s="37"/>
      <c r="V194" s="38">
        <f>DATEDIF(Table1[[#This Row],[Sponsor*]],Table1[[#This Row],[Start Date*]],"d")</f>
        <v>0</v>
      </c>
      <c r="W194" s="62" t="e">
        <f>DATEDIF([1]!Table1[[#This Row],[Start Date*]],[1]!Table1[[#This Row],[End Date*]],"d")</f>
        <v>#VALUE!</v>
      </c>
      <c r="X194" s="39"/>
      <c r="Y194" s="34"/>
      <c r="Z194" s="34"/>
      <c r="AC194" s="34"/>
      <c r="AE194" s="34"/>
      <c r="AF194" s="40"/>
      <c r="AG194" s="34"/>
      <c r="AH194" s="34"/>
      <c r="AI194" s="34"/>
      <c r="AJ194" s="34"/>
      <c r="AK194" s="34">
        <f>SUBTOTAL(9,Table1[[#This Row],[Up Next Priority]:[Campus]])</f>
        <v>0</v>
      </c>
      <c r="AL194" s="52"/>
      <c r="AM194" s="42"/>
      <c r="AN194" s="43"/>
      <c r="AO194" s="44"/>
      <c r="AP194" s="44"/>
      <c r="AQ194" s="44"/>
      <c r="AR194" s="44"/>
      <c r="AS194" s="51"/>
      <c r="AT194" s="44"/>
      <c r="AU194" s="66">
        <f>SUM(Table1[[#This Row],[Org Impact Score]:[Tools]])</f>
        <v>0</v>
      </c>
      <c r="AV194" s="45"/>
      <c r="AW194" s="34"/>
      <c r="AX194" s="34"/>
      <c r="AY194" s="34"/>
    </row>
    <row r="195" spans="1:51">
      <c r="A195" s="31" t="s">
        <v>609</v>
      </c>
      <c r="B195" s="32" t="s">
        <v>195</v>
      </c>
      <c r="C195" s="32" t="b">
        <v>0</v>
      </c>
      <c r="D195" s="32" t="s">
        <v>608</v>
      </c>
      <c r="E195" s="32" t="s">
        <v>890</v>
      </c>
      <c r="F195" s="32" t="s">
        <v>898</v>
      </c>
      <c r="G195" s="32" t="s">
        <v>76</v>
      </c>
      <c r="H195" s="65" t="s">
        <v>610</v>
      </c>
      <c r="I195" s="33"/>
      <c r="J195" s="33"/>
      <c r="K195" s="33"/>
      <c r="L195" s="34"/>
      <c r="M195" s="6"/>
      <c r="N195" s="6"/>
      <c r="O195" s="6"/>
      <c r="P195" s="36"/>
      <c r="Q195" s="34"/>
      <c r="R195" s="34"/>
      <c r="S195" s="34"/>
      <c r="T195" s="37"/>
      <c r="U195" s="37"/>
      <c r="V195" s="38">
        <f>DATEDIF(Table1[[#This Row],[Sponsor*]],Table1[[#This Row],[Start Date*]],"d")</f>
        <v>0</v>
      </c>
      <c r="W195" s="62" t="e">
        <f>DATEDIF([1]!Table1[[#This Row],[Start Date*]],[1]!Table1[[#This Row],[End Date*]],"d")</f>
        <v>#VALUE!</v>
      </c>
      <c r="X195" s="39"/>
      <c r="Y195" s="34"/>
      <c r="Z195" s="34"/>
      <c r="AC195" s="34"/>
      <c r="AE195" s="34"/>
      <c r="AF195" s="40"/>
      <c r="AG195" s="34"/>
      <c r="AH195" s="34"/>
      <c r="AI195" s="34"/>
      <c r="AJ195" s="34"/>
      <c r="AK195" s="34">
        <f>SUBTOTAL(9,Table1[[#This Row],[Up Next Priority]:[Campus]])</f>
        <v>0</v>
      </c>
      <c r="AL195" s="52"/>
      <c r="AM195" s="42"/>
      <c r="AN195" s="43"/>
      <c r="AO195" s="44"/>
      <c r="AP195" s="44"/>
      <c r="AQ195" s="44"/>
      <c r="AR195" s="44"/>
      <c r="AS195" s="51"/>
      <c r="AT195" s="44"/>
      <c r="AU195" s="66">
        <f>SUM(Table1[[#This Row],[Org Impact Score]:[Tools]])</f>
        <v>0</v>
      </c>
      <c r="AV195" s="45"/>
      <c r="AW195" s="34"/>
      <c r="AX195" s="34"/>
      <c r="AY195" s="34"/>
    </row>
    <row r="196" spans="1:51">
      <c r="A196" s="31" t="s">
        <v>606</v>
      </c>
      <c r="B196" s="32" t="s">
        <v>195</v>
      </c>
      <c r="C196" s="32" t="b">
        <v>0</v>
      </c>
      <c r="D196" s="32" t="s">
        <v>605</v>
      </c>
      <c r="E196" s="32" t="s">
        <v>890</v>
      </c>
      <c r="F196" s="32" t="s">
        <v>898</v>
      </c>
      <c r="G196" s="32" t="s">
        <v>909</v>
      </c>
      <c r="H196" s="65" t="s">
        <v>607</v>
      </c>
      <c r="I196" s="33"/>
      <c r="J196" s="33"/>
      <c r="K196" s="33"/>
      <c r="L196" s="34"/>
      <c r="M196" s="6"/>
      <c r="N196" s="6"/>
      <c r="O196" s="6"/>
      <c r="P196" s="36"/>
      <c r="Q196" s="34"/>
      <c r="R196" s="34"/>
      <c r="S196" s="34"/>
      <c r="T196" s="37"/>
      <c r="U196" s="37"/>
      <c r="V196" s="38">
        <f>DATEDIF(Table1[[#This Row],[Sponsor*]],Table1[[#This Row],[Start Date*]],"d")</f>
        <v>0</v>
      </c>
      <c r="W196" s="62" t="e">
        <f>DATEDIF([1]!Table1[[#This Row],[Start Date*]],[1]!Table1[[#This Row],[End Date*]],"d")</f>
        <v>#VALUE!</v>
      </c>
      <c r="X196" s="39"/>
      <c r="Y196" s="34"/>
      <c r="Z196" s="34"/>
      <c r="AC196" s="34"/>
      <c r="AE196" s="34"/>
      <c r="AF196" s="40"/>
      <c r="AG196" s="34"/>
      <c r="AH196" s="34"/>
      <c r="AI196" s="34"/>
      <c r="AJ196" s="34"/>
      <c r="AK196" s="34">
        <f>SUBTOTAL(9,Table1[[#This Row],[Up Next Priority]:[Campus]])</f>
        <v>0</v>
      </c>
      <c r="AL196" s="52"/>
      <c r="AM196" s="42"/>
      <c r="AN196" s="43"/>
      <c r="AO196" s="44"/>
      <c r="AP196" s="44"/>
      <c r="AQ196" s="44"/>
      <c r="AR196" s="44"/>
      <c r="AS196" s="51"/>
      <c r="AT196" s="44"/>
      <c r="AU196" s="66">
        <f>SUM(Table1[[#This Row],[Org Impact Score]:[Tools]])</f>
        <v>0</v>
      </c>
      <c r="AV196" s="45"/>
      <c r="AW196" s="34"/>
      <c r="AX196" s="34"/>
      <c r="AY196" s="34"/>
    </row>
    <row r="197" spans="1:51">
      <c r="A197" s="31" t="s">
        <v>603</v>
      </c>
      <c r="B197" s="32" t="s">
        <v>195</v>
      </c>
      <c r="C197" s="32" t="b">
        <v>0</v>
      </c>
      <c r="D197" s="32" t="s">
        <v>602</v>
      </c>
      <c r="E197" s="32" t="s">
        <v>890</v>
      </c>
      <c r="F197" s="32" t="s">
        <v>898</v>
      </c>
      <c r="G197" s="32" t="s">
        <v>81</v>
      </c>
      <c r="H197" s="65" t="s">
        <v>604</v>
      </c>
      <c r="I197" s="33"/>
      <c r="J197" s="33"/>
      <c r="K197" s="33"/>
      <c r="L197" s="34"/>
      <c r="M197" s="6"/>
      <c r="N197" s="6"/>
      <c r="O197" s="6"/>
      <c r="P197" s="36"/>
      <c r="Q197" s="34"/>
      <c r="R197" s="34"/>
      <c r="S197" s="34"/>
      <c r="T197" s="37"/>
      <c r="U197" s="37"/>
      <c r="V197" s="38">
        <f>DATEDIF(Table1[[#This Row],[Sponsor*]],Table1[[#This Row],[Start Date*]],"d")</f>
        <v>0</v>
      </c>
      <c r="W197" s="62" t="e">
        <f>DATEDIF([1]!Table1[[#This Row],[Start Date*]],[1]!Table1[[#This Row],[End Date*]],"d")</f>
        <v>#VALUE!</v>
      </c>
      <c r="X197" s="39"/>
      <c r="Y197" s="34"/>
      <c r="Z197" s="34"/>
      <c r="AC197" s="34"/>
      <c r="AE197" s="34"/>
      <c r="AF197" s="40"/>
      <c r="AG197" s="34"/>
      <c r="AH197" s="34"/>
      <c r="AI197" s="34"/>
      <c r="AJ197" s="34"/>
      <c r="AK197" s="34">
        <f>SUBTOTAL(9,Table1[[#This Row],[Up Next Priority]:[Campus]])</f>
        <v>0</v>
      </c>
      <c r="AL197" s="52"/>
      <c r="AM197" s="42"/>
      <c r="AN197" s="43"/>
      <c r="AO197" s="44"/>
      <c r="AP197" s="44"/>
      <c r="AQ197" s="44"/>
      <c r="AR197" s="44"/>
      <c r="AS197" s="51"/>
      <c r="AT197" s="44"/>
      <c r="AU197" s="66">
        <f>SUM(Table1[[#This Row],[Org Impact Score]:[Tools]])</f>
        <v>0</v>
      </c>
      <c r="AV197" s="45"/>
      <c r="AW197" s="34"/>
      <c r="AX197" s="34"/>
      <c r="AY197" s="34"/>
    </row>
    <row r="198" spans="1:51">
      <c r="A198" s="31" t="s">
        <v>600</v>
      </c>
      <c r="B198" s="32" t="s">
        <v>195</v>
      </c>
      <c r="C198" s="32" t="b">
        <v>0</v>
      </c>
      <c r="D198" s="32" t="s">
        <v>599</v>
      </c>
      <c r="E198" s="32" t="s">
        <v>890</v>
      </c>
      <c r="F198" s="32" t="s">
        <v>898</v>
      </c>
      <c r="G198" s="32" t="s">
        <v>81</v>
      </c>
      <c r="H198" s="65" t="s">
        <v>601</v>
      </c>
      <c r="I198" s="33"/>
      <c r="J198" s="33"/>
      <c r="K198" s="33"/>
      <c r="L198" s="34"/>
      <c r="M198" s="6"/>
      <c r="N198" s="6"/>
      <c r="O198" s="6"/>
      <c r="P198" s="36"/>
      <c r="Q198" s="34"/>
      <c r="R198" s="34"/>
      <c r="S198" s="34"/>
      <c r="T198" s="37"/>
      <c r="U198" s="37"/>
      <c r="V198" s="38">
        <f>DATEDIF(Table1[[#This Row],[Sponsor*]],Table1[[#This Row],[Start Date*]],"d")</f>
        <v>0</v>
      </c>
      <c r="W198" s="62" t="e">
        <f>DATEDIF([1]!Table1[[#This Row],[Start Date*]],[1]!Table1[[#This Row],[End Date*]],"d")</f>
        <v>#VALUE!</v>
      </c>
      <c r="X198" s="39"/>
      <c r="Y198" s="34"/>
      <c r="Z198" s="34"/>
      <c r="AC198" s="34"/>
      <c r="AE198" s="34"/>
      <c r="AF198" s="40"/>
      <c r="AG198" s="34"/>
      <c r="AH198" s="34"/>
      <c r="AI198" s="34"/>
      <c r="AJ198" s="34"/>
      <c r="AK198" s="34">
        <f>SUBTOTAL(9,Table1[[#This Row],[Up Next Priority]:[Campus]])</f>
        <v>0</v>
      </c>
      <c r="AL198" s="52"/>
      <c r="AM198" s="42"/>
      <c r="AN198" s="43"/>
      <c r="AO198" s="44"/>
      <c r="AP198" s="44"/>
      <c r="AQ198" s="44"/>
      <c r="AR198" s="44"/>
      <c r="AS198" s="51"/>
      <c r="AT198" s="44"/>
      <c r="AU198" s="66">
        <f>SUM(Table1[[#This Row],[Org Impact Score]:[Tools]])</f>
        <v>0</v>
      </c>
      <c r="AV198" s="45"/>
      <c r="AW198" s="34"/>
      <c r="AX198" s="34"/>
      <c r="AY198" s="34"/>
    </row>
    <row r="199" spans="1:51">
      <c r="A199" s="31" t="s">
        <v>597</v>
      </c>
      <c r="B199" s="32" t="s">
        <v>195</v>
      </c>
      <c r="C199" s="32" t="b">
        <v>0</v>
      </c>
      <c r="D199" s="32" t="s">
        <v>596</v>
      </c>
      <c r="E199" s="32" t="s">
        <v>890</v>
      </c>
      <c r="F199" s="32" t="s">
        <v>898</v>
      </c>
      <c r="G199" s="32" t="s">
        <v>76</v>
      </c>
      <c r="H199" s="65" t="s">
        <v>598</v>
      </c>
      <c r="I199" s="33"/>
      <c r="J199" s="33"/>
      <c r="K199" s="33"/>
      <c r="L199" s="34"/>
      <c r="M199" s="6"/>
      <c r="N199" s="6"/>
      <c r="O199" s="6"/>
      <c r="P199" s="36"/>
      <c r="Q199" s="34"/>
      <c r="R199" s="34"/>
      <c r="S199" s="34"/>
      <c r="T199" s="37"/>
      <c r="U199" s="37"/>
      <c r="V199" s="38">
        <f>DATEDIF(Table1[[#This Row],[Sponsor*]],Table1[[#This Row],[Start Date*]],"d")</f>
        <v>0</v>
      </c>
      <c r="W199" s="62" t="e">
        <f>DATEDIF([1]!Table1[[#This Row],[Start Date*]],[1]!Table1[[#This Row],[End Date*]],"d")</f>
        <v>#VALUE!</v>
      </c>
      <c r="X199" s="39"/>
      <c r="Y199" s="34"/>
      <c r="Z199" s="34"/>
      <c r="AC199" s="34"/>
      <c r="AE199" s="34"/>
      <c r="AF199" s="40"/>
      <c r="AG199" s="34"/>
      <c r="AH199" s="34"/>
      <c r="AI199" s="34"/>
      <c r="AJ199" s="34"/>
      <c r="AK199" s="34">
        <f>SUBTOTAL(9,Table1[[#This Row],[Up Next Priority]:[Campus]])</f>
        <v>0</v>
      </c>
      <c r="AL199" s="52"/>
      <c r="AM199" s="42"/>
      <c r="AN199" s="43"/>
      <c r="AO199" s="44"/>
      <c r="AP199" s="44"/>
      <c r="AQ199" s="44"/>
      <c r="AR199" s="44"/>
      <c r="AS199" s="51"/>
      <c r="AT199" s="44"/>
      <c r="AU199" s="66">
        <f>SUM(Table1[[#This Row],[Org Impact Score]:[Tools]])</f>
        <v>0</v>
      </c>
      <c r="AV199" s="45"/>
      <c r="AW199" s="34"/>
      <c r="AX199" s="34"/>
      <c r="AY199" s="34"/>
    </row>
    <row r="200" spans="1:51">
      <c r="A200" s="31" t="s">
        <v>594</v>
      </c>
      <c r="B200" s="32" t="s">
        <v>195</v>
      </c>
      <c r="C200" s="32" t="b">
        <v>0</v>
      </c>
      <c r="D200" s="32" t="s">
        <v>593</v>
      </c>
      <c r="E200" s="32" t="s">
        <v>890</v>
      </c>
      <c r="F200" s="32" t="s">
        <v>898</v>
      </c>
      <c r="G200" s="32" t="s">
        <v>76</v>
      </c>
      <c r="H200" s="65" t="s">
        <v>595</v>
      </c>
      <c r="I200" s="33"/>
      <c r="J200" s="33"/>
      <c r="K200" s="33"/>
      <c r="L200" s="34"/>
      <c r="M200" s="6"/>
      <c r="N200" s="6"/>
      <c r="O200" s="6"/>
      <c r="P200" s="36"/>
      <c r="Q200" s="34"/>
      <c r="R200" s="34"/>
      <c r="S200" s="34"/>
      <c r="T200" s="37"/>
      <c r="U200" s="37"/>
      <c r="V200" s="38">
        <f>DATEDIF(Table1[[#This Row],[Sponsor*]],Table1[[#This Row],[Start Date*]],"d")</f>
        <v>0</v>
      </c>
      <c r="W200" s="62" t="e">
        <f>DATEDIF([1]!Table1[[#This Row],[Start Date*]],[1]!Table1[[#This Row],[End Date*]],"d")</f>
        <v>#VALUE!</v>
      </c>
      <c r="X200" s="39"/>
      <c r="Y200" s="34"/>
      <c r="Z200" s="34"/>
      <c r="AC200" s="34"/>
      <c r="AE200" s="34"/>
      <c r="AF200" s="40"/>
      <c r="AG200" s="34"/>
      <c r="AH200" s="34"/>
      <c r="AI200" s="34"/>
      <c r="AJ200" s="34"/>
      <c r="AK200" s="34">
        <f>SUBTOTAL(9,Table1[[#This Row],[Up Next Priority]:[Campus]])</f>
        <v>0</v>
      </c>
      <c r="AL200" s="52"/>
      <c r="AM200" s="42"/>
      <c r="AN200" s="43"/>
      <c r="AO200" s="44"/>
      <c r="AP200" s="44"/>
      <c r="AQ200" s="44"/>
      <c r="AR200" s="44"/>
      <c r="AS200" s="51"/>
      <c r="AT200" s="44"/>
      <c r="AU200" s="66">
        <f>SUM(Table1[[#This Row],[Org Impact Score]:[Tools]])</f>
        <v>0</v>
      </c>
      <c r="AV200" s="45"/>
      <c r="AW200" s="34"/>
      <c r="AX200" s="34"/>
      <c r="AY200" s="34"/>
    </row>
    <row r="201" spans="1:51">
      <c r="A201" s="31" t="s">
        <v>1383</v>
      </c>
      <c r="B201" s="32" t="s">
        <v>195</v>
      </c>
      <c r="C201" s="32" t="b">
        <v>0</v>
      </c>
      <c r="D201" s="32" t="s">
        <v>1382</v>
      </c>
      <c r="E201" s="32" t="s">
        <v>890</v>
      </c>
      <c r="F201" s="32" t="s">
        <v>1380</v>
      </c>
      <c r="G201" s="32" t="s">
        <v>76</v>
      </c>
      <c r="H201" s="65" t="s">
        <v>1384</v>
      </c>
      <c r="I201" s="33"/>
      <c r="J201" s="33"/>
      <c r="K201" s="33"/>
      <c r="L201" s="34"/>
      <c r="M201" s="6"/>
      <c r="N201" s="6"/>
      <c r="O201" s="6"/>
      <c r="P201" s="36"/>
      <c r="Q201" s="34"/>
      <c r="R201" s="34"/>
      <c r="S201" s="34"/>
      <c r="T201" s="37"/>
      <c r="U201" s="37"/>
      <c r="V201" s="38">
        <f>DATEDIF(Table1[[#This Row],[Sponsor*]],Table1[[#This Row],[Start Date*]],"d")</f>
        <v>0</v>
      </c>
      <c r="W201" s="62" t="e">
        <f>DATEDIF([1]!Table1[[#This Row],[Start Date*]],[1]!Table1[[#This Row],[End Date*]],"d")</f>
        <v>#VALUE!</v>
      </c>
      <c r="X201" s="39"/>
      <c r="Y201" s="34"/>
      <c r="Z201" s="34"/>
      <c r="AC201" s="34"/>
      <c r="AE201" s="34"/>
      <c r="AF201" s="40"/>
      <c r="AG201" s="34"/>
      <c r="AH201" s="34"/>
      <c r="AI201" s="34"/>
      <c r="AJ201" s="34"/>
      <c r="AK201" s="34">
        <f>SUBTOTAL(9,Table1[[#This Row],[Up Next Priority]:[Campus]])</f>
        <v>0</v>
      </c>
      <c r="AL201" s="52"/>
      <c r="AM201" s="42"/>
      <c r="AN201" s="43"/>
      <c r="AO201" s="44"/>
      <c r="AP201" s="44"/>
      <c r="AQ201" s="44"/>
      <c r="AR201" s="44"/>
      <c r="AS201" s="51"/>
      <c r="AT201" s="44"/>
      <c r="AU201" s="66">
        <f>SUM(Table1[[#This Row],[Org Impact Score]:[Tools]])</f>
        <v>0</v>
      </c>
      <c r="AV201" s="45"/>
      <c r="AW201" s="34"/>
      <c r="AX201" s="34"/>
      <c r="AY201" s="34"/>
    </row>
    <row r="202" spans="1:51">
      <c r="A202" s="31" t="s">
        <v>591</v>
      </c>
      <c r="B202" s="32" t="s">
        <v>195</v>
      </c>
      <c r="C202" s="32" t="b">
        <v>0</v>
      </c>
      <c r="D202" s="32" t="s">
        <v>590</v>
      </c>
      <c r="E202" s="32" t="s">
        <v>890</v>
      </c>
      <c r="F202" s="32" t="s">
        <v>897</v>
      </c>
      <c r="G202" s="32"/>
      <c r="H202" s="65" t="s">
        <v>592</v>
      </c>
      <c r="I202" s="33"/>
      <c r="J202" s="33"/>
      <c r="K202" s="33"/>
      <c r="L202" s="34"/>
      <c r="M202" s="6"/>
      <c r="N202" s="6"/>
      <c r="O202" s="6"/>
      <c r="P202" s="36"/>
      <c r="Q202" s="34"/>
      <c r="R202" s="34"/>
      <c r="S202" s="34"/>
      <c r="T202" s="37"/>
      <c r="U202" s="37"/>
      <c r="V202" s="38">
        <f>DATEDIF(Table1[[#This Row],[Sponsor*]],Table1[[#This Row],[Start Date*]],"d")</f>
        <v>0</v>
      </c>
      <c r="W202" s="62" t="e">
        <f>DATEDIF([1]!Table1[[#This Row],[Start Date*]],[1]!Table1[[#This Row],[End Date*]],"d")</f>
        <v>#VALUE!</v>
      </c>
      <c r="X202" s="39"/>
      <c r="Y202" s="34"/>
      <c r="Z202" s="34"/>
      <c r="AC202" s="34"/>
      <c r="AE202" s="34"/>
      <c r="AF202" s="40"/>
      <c r="AG202" s="34"/>
      <c r="AH202" s="34"/>
      <c r="AI202" s="34"/>
      <c r="AJ202" s="34"/>
      <c r="AK202" s="34">
        <f>SUBTOTAL(9,Table1[[#This Row],[Up Next Priority]:[Campus]])</f>
        <v>0</v>
      </c>
      <c r="AL202" s="52"/>
      <c r="AM202" s="42"/>
      <c r="AN202" s="43"/>
      <c r="AO202" s="44"/>
      <c r="AP202" s="44"/>
      <c r="AQ202" s="44"/>
      <c r="AR202" s="44"/>
      <c r="AS202" s="51"/>
      <c r="AT202" s="44"/>
      <c r="AU202" s="66">
        <f>SUM(Table1[[#This Row],[Org Impact Score]:[Tools]])</f>
        <v>0</v>
      </c>
      <c r="AV202" s="45"/>
      <c r="AW202" s="34"/>
      <c r="AX202" s="34"/>
      <c r="AY202" s="34"/>
    </row>
    <row r="203" spans="1:51">
      <c r="A203" s="31" t="s">
        <v>1148</v>
      </c>
      <c r="B203" s="32" t="s">
        <v>195</v>
      </c>
      <c r="C203" s="32" t="b">
        <v>0</v>
      </c>
      <c r="D203" s="32" t="s">
        <v>589</v>
      </c>
      <c r="E203" s="32" t="s">
        <v>890</v>
      </c>
      <c r="F203" s="32" t="s">
        <v>897</v>
      </c>
      <c r="G203" s="32"/>
      <c r="H203" s="65" t="s">
        <v>1149</v>
      </c>
      <c r="I203" s="33"/>
      <c r="J203" s="33"/>
      <c r="K203" s="33"/>
      <c r="L203" s="34"/>
      <c r="M203" s="6"/>
      <c r="N203" s="6"/>
      <c r="O203" s="6"/>
      <c r="P203" s="36"/>
      <c r="Q203" s="34"/>
      <c r="R203" s="34"/>
      <c r="S203" s="34"/>
      <c r="T203" s="37"/>
      <c r="U203" s="37"/>
      <c r="V203" s="38">
        <f>DATEDIF(Table1[[#This Row],[Sponsor*]],Table1[[#This Row],[Start Date*]],"d")</f>
        <v>0</v>
      </c>
      <c r="W203" s="62" t="e">
        <f>DATEDIF([1]!Table1[[#This Row],[Start Date*]],[1]!Table1[[#This Row],[End Date*]],"d")</f>
        <v>#VALUE!</v>
      </c>
      <c r="X203" s="39"/>
      <c r="Y203" s="34"/>
      <c r="Z203" s="34"/>
      <c r="AC203" s="34"/>
      <c r="AE203" s="34"/>
      <c r="AF203" s="40"/>
      <c r="AG203" s="34"/>
      <c r="AH203" s="34"/>
      <c r="AI203" s="34"/>
      <c r="AJ203" s="34"/>
      <c r="AK203" s="34">
        <f>SUBTOTAL(9,Table1[[#This Row],[Up Next Priority]:[Campus]])</f>
        <v>0</v>
      </c>
      <c r="AL203" s="52"/>
      <c r="AM203" s="42"/>
      <c r="AN203" s="43"/>
      <c r="AO203" s="44"/>
      <c r="AP203" s="44"/>
      <c r="AQ203" s="44"/>
      <c r="AR203" s="44"/>
      <c r="AS203" s="51"/>
      <c r="AT203" s="44"/>
      <c r="AU203" s="66">
        <f>SUM(Table1[[#This Row],[Org Impact Score]:[Tools]])</f>
        <v>0</v>
      </c>
      <c r="AV203" s="45"/>
      <c r="AW203" s="34"/>
      <c r="AX203" s="34"/>
      <c r="AY203" s="34"/>
    </row>
    <row r="204" spans="1:51">
      <c r="A204" s="31" t="s">
        <v>587</v>
      </c>
      <c r="B204" s="32" t="s">
        <v>195</v>
      </c>
      <c r="C204" s="32" t="b">
        <v>0</v>
      </c>
      <c r="D204" s="32" t="s">
        <v>586</v>
      </c>
      <c r="E204" s="32" t="s">
        <v>890</v>
      </c>
      <c r="F204" s="32" t="s">
        <v>897</v>
      </c>
      <c r="G204" s="32"/>
      <c r="H204" s="65" t="s">
        <v>588</v>
      </c>
      <c r="I204" s="33"/>
      <c r="J204" s="33"/>
      <c r="K204" s="33"/>
      <c r="L204" s="34"/>
      <c r="M204" s="6"/>
      <c r="N204" s="6"/>
      <c r="O204" s="6"/>
      <c r="P204" s="36"/>
      <c r="Q204" s="34"/>
      <c r="R204" s="34"/>
      <c r="S204" s="34"/>
      <c r="T204" s="37"/>
      <c r="U204" s="37"/>
      <c r="V204" s="38">
        <f>DATEDIF(Table1[[#This Row],[Sponsor*]],Table1[[#This Row],[Start Date*]],"d")</f>
        <v>0</v>
      </c>
      <c r="W204" s="62" t="e">
        <f>DATEDIF([1]!Table1[[#This Row],[Start Date*]],[1]!Table1[[#This Row],[End Date*]],"d")</f>
        <v>#VALUE!</v>
      </c>
      <c r="X204" s="39"/>
      <c r="Y204" s="34"/>
      <c r="Z204" s="34"/>
      <c r="AC204" s="34"/>
      <c r="AE204" s="34"/>
      <c r="AF204" s="40"/>
      <c r="AG204" s="34"/>
      <c r="AH204" s="34"/>
      <c r="AI204" s="34"/>
      <c r="AJ204" s="34"/>
      <c r="AK204" s="34">
        <f>SUBTOTAL(9,Table1[[#This Row],[Up Next Priority]:[Campus]])</f>
        <v>0</v>
      </c>
      <c r="AL204" s="52"/>
      <c r="AM204" s="42"/>
      <c r="AN204" s="43"/>
      <c r="AO204" s="44"/>
      <c r="AP204" s="44"/>
      <c r="AQ204" s="44"/>
      <c r="AR204" s="44"/>
      <c r="AS204" s="51"/>
      <c r="AT204" s="44"/>
      <c r="AU204" s="66">
        <f>SUM(Table1[[#This Row],[Org Impact Score]:[Tools]])</f>
        <v>0</v>
      </c>
      <c r="AV204" s="45"/>
      <c r="AW204" s="34"/>
      <c r="AX204" s="34"/>
      <c r="AY204" s="34"/>
    </row>
    <row r="205" spans="1:51">
      <c r="A205" s="31" t="s">
        <v>584</v>
      </c>
      <c r="B205" s="32" t="s">
        <v>195</v>
      </c>
      <c r="C205" s="32" t="b">
        <v>0</v>
      </c>
      <c r="D205" s="32" t="s">
        <v>583</v>
      </c>
      <c r="E205" s="32" t="s">
        <v>890</v>
      </c>
      <c r="F205" s="32" t="s">
        <v>897</v>
      </c>
      <c r="G205" s="32"/>
      <c r="H205" s="65" t="s">
        <v>585</v>
      </c>
      <c r="I205" s="33"/>
      <c r="J205" s="33"/>
      <c r="K205" s="33"/>
      <c r="L205" s="34"/>
      <c r="M205" s="6"/>
      <c r="N205" s="6"/>
      <c r="O205" s="6"/>
      <c r="P205" s="36"/>
      <c r="Q205" s="34"/>
      <c r="R205" s="34"/>
      <c r="S205" s="34"/>
      <c r="T205" s="37"/>
      <c r="U205" s="37"/>
      <c r="V205" s="38">
        <f>DATEDIF(Table1[[#This Row],[Sponsor*]],Table1[[#This Row],[Start Date*]],"d")</f>
        <v>0</v>
      </c>
      <c r="W205" s="62" t="e">
        <f>DATEDIF([1]!Table1[[#This Row],[Start Date*]],[1]!Table1[[#This Row],[End Date*]],"d")</f>
        <v>#VALUE!</v>
      </c>
      <c r="X205" s="39"/>
      <c r="Y205" s="34"/>
      <c r="Z205" s="34"/>
      <c r="AC205" s="34"/>
      <c r="AE205" s="34"/>
      <c r="AF205" s="40"/>
      <c r="AG205" s="34"/>
      <c r="AH205" s="34"/>
      <c r="AI205" s="34"/>
      <c r="AJ205" s="34"/>
      <c r="AK205" s="34">
        <f>SUBTOTAL(9,Table1[[#This Row],[Up Next Priority]:[Campus]])</f>
        <v>0</v>
      </c>
      <c r="AL205" s="52"/>
      <c r="AM205" s="42"/>
      <c r="AN205" s="43"/>
      <c r="AO205" s="44"/>
      <c r="AP205" s="44"/>
      <c r="AQ205" s="44"/>
      <c r="AR205" s="44"/>
      <c r="AS205" s="51"/>
      <c r="AT205" s="44"/>
      <c r="AU205" s="66">
        <f>SUM(Table1[[#This Row],[Org Impact Score]:[Tools]])</f>
        <v>0</v>
      </c>
      <c r="AV205" s="45"/>
      <c r="AW205" s="34"/>
      <c r="AX205" s="34"/>
      <c r="AY205" s="34"/>
    </row>
    <row r="206" spans="1:51">
      <c r="A206" s="31" t="s">
        <v>581</v>
      </c>
      <c r="B206" s="32" t="s">
        <v>195</v>
      </c>
      <c r="C206" s="32" t="b">
        <v>0</v>
      </c>
      <c r="D206" s="32" t="s">
        <v>580</v>
      </c>
      <c r="E206" s="32" t="s">
        <v>890</v>
      </c>
      <c r="F206" s="32" t="s">
        <v>897</v>
      </c>
      <c r="G206" s="32" t="s">
        <v>81</v>
      </c>
      <c r="H206" s="65" t="s">
        <v>582</v>
      </c>
      <c r="I206" s="33"/>
      <c r="J206" s="33"/>
      <c r="K206" s="33"/>
      <c r="L206" s="34"/>
      <c r="M206" s="6"/>
      <c r="N206" s="6"/>
      <c r="O206" s="6"/>
      <c r="P206" s="36"/>
      <c r="Q206" s="34"/>
      <c r="R206" s="34"/>
      <c r="S206" s="34"/>
      <c r="T206" s="37"/>
      <c r="U206" s="37"/>
      <c r="V206" s="38">
        <f>DATEDIF(Table1[[#This Row],[Sponsor*]],Table1[[#This Row],[Start Date*]],"d")</f>
        <v>0</v>
      </c>
      <c r="W206" s="62" t="e">
        <f>DATEDIF([1]!Table1[[#This Row],[Start Date*]],[1]!Table1[[#This Row],[End Date*]],"d")</f>
        <v>#VALUE!</v>
      </c>
      <c r="X206" s="39"/>
      <c r="Y206" s="34"/>
      <c r="Z206" s="34"/>
      <c r="AC206" s="34"/>
      <c r="AE206" s="34"/>
      <c r="AF206" s="40"/>
      <c r="AG206" s="34"/>
      <c r="AH206" s="34"/>
      <c r="AI206" s="34"/>
      <c r="AJ206" s="34"/>
      <c r="AK206" s="34">
        <f>SUBTOTAL(9,Table1[[#This Row],[Up Next Priority]:[Campus]])</f>
        <v>0</v>
      </c>
      <c r="AL206" s="52"/>
      <c r="AM206" s="42"/>
      <c r="AN206" s="43"/>
      <c r="AO206" s="44"/>
      <c r="AP206" s="44"/>
      <c r="AQ206" s="44"/>
      <c r="AR206" s="44"/>
      <c r="AS206" s="51"/>
      <c r="AT206" s="44"/>
      <c r="AU206" s="66">
        <f>SUM(Table1[[#This Row],[Org Impact Score]:[Tools]])</f>
        <v>0</v>
      </c>
      <c r="AV206" s="45"/>
      <c r="AW206" s="34"/>
      <c r="AX206" s="34"/>
      <c r="AY206" s="34"/>
    </row>
    <row r="207" spans="1:51">
      <c r="A207" s="31" t="s">
        <v>578</v>
      </c>
      <c r="B207" s="32" t="s">
        <v>195</v>
      </c>
      <c r="C207" s="32" t="b">
        <v>0</v>
      </c>
      <c r="D207" s="32" t="s">
        <v>577</v>
      </c>
      <c r="E207" s="32" t="s">
        <v>890</v>
      </c>
      <c r="F207" s="32" t="s">
        <v>897</v>
      </c>
      <c r="G207" s="32" t="s">
        <v>81</v>
      </c>
      <c r="H207" s="65" t="s">
        <v>579</v>
      </c>
      <c r="I207" s="33"/>
      <c r="J207" s="33"/>
      <c r="K207" s="33"/>
      <c r="L207" s="34"/>
      <c r="M207" s="6"/>
      <c r="N207" s="6"/>
      <c r="O207" s="6"/>
      <c r="P207" s="36"/>
      <c r="Q207" s="34"/>
      <c r="R207" s="34"/>
      <c r="S207" s="34"/>
      <c r="T207" s="37"/>
      <c r="U207" s="37"/>
      <c r="V207" s="38">
        <f>DATEDIF(Table1[[#This Row],[Sponsor*]],Table1[[#This Row],[Start Date*]],"d")</f>
        <v>0</v>
      </c>
      <c r="W207" s="62" t="e">
        <f>DATEDIF([1]!Table1[[#This Row],[Start Date*]],[1]!Table1[[#This Row],[End Date*]],"d")</f>
        <v>#VALUE!</v>
      </c>
      <c r="X207" s="39"/>
      <c r="Y207" s="34"/>
      <c r="Z207" s="34"/>
      <c r="AC207" s="34"/>
      <c r="AE207" s="34"/>
      <c r="AF207" s="40"/>
      <c r="AG207" s="34"/>
      <c r="AH207" s="34"/>
      <c r="AI207" s="34"/>
      <c r="AJ207" s="34"/>
      <c r="AK207" s="34">
        <f>SUBTOTAL(9,Table1[[#This Row],[Up Next Priority]:[Campus]])</f>
        <v>0</v>
      </c>
      <c r="AL207" s="52"/>
      <c r="AM207" s="42"/>
      <c r="AN207" s="43"/>
      <c r="AO207" s="44"/>
      <c r="AP207" s="44"/>
      <c r="AQ207" s="44"/>
      <c r="AR207" s="44"/>
      <c r="AS207" s="51"/>
      <c r="AT207" s="44"/>
      <c r="AU207" s="66">
        <f>SUM(Table1[[#This Row],[Org Impact Score]:[Tools]])</f>
        <v>0</v>
      </c>
      <c r="AV207" s="45"/>
      <c r="AW207" s="34"/>
      <c r="AX207" s="34"/>
      <c r="AY207" s="34"/>
    </row>
    <row r="208" spans="1:51">
      <c r="A208" s="31" t="s">
        <v>575</v>
      </c>
      <c r="B208" s="32" t="s">
        <v>195</v>
      </c>
      <c r="C208" s="32" t="b">
        <v>0</v>
      </c>
      <c r="D208" s="32" t="s">
        <v>574</v>
      </c>
      <c r="E208" s="32" t="s">
        <v>890</v>
      </c>
      <c r="F208" s="32" t="s">
        <v>897</v>
      </c>
      <c r="G208" s="32" t="s">
        <v>81</v>
      </c>
      <c r="H208" s="65" t="s">
        <v>576</v>
      </c>
      <c r="I208" s="33"/>
      <c r="J208" s="33"/>
      <c r="K208" s="33"/>
      <c r="L208" s="34"/>
      <c r="M208" s="6"/>
      <c r="N208" s="6"/>
      <c r="O208" s="6"/>
      <c r="P208" s="36"/>
      <c r="Q208" s="34"/>
      <c r="R208" s="34"/>
      <c r="S208" s="34"/>
      <c r="T208" s="37"/>
      <c r="U208" s="37"/>
      <c r="V208" s="38">
        <f>DATEDIF(Table1[[#This Row],[Sponsor*]],Table1[[#This Row],[Start Date*]],"d")</f>
        <v>0</v>
      </c>
      <c r="W208" s="62" t="e">
        <f>DATEDIF([1]!Table1[[#This Row],[Start Date*]],[1]!Table1[[#This Row],[End Date*]],"d")</f>
        <v>#VALUE!</v>
      </c>
      <c r="X208" s="39"/>
      <c r="Y208" s="34"/>
      <c r="Z208" s="34"/>
      <c r="AC208" s="34"/>
      <c r="AE208" s="34"/>
      <c r="AF208" s="40"/>
      <c r="AG208" s="34"/>
      <c r="AH208" s="34"/>
      <c r="AI208" s="34"/>
      <c r="AJ208" s="34"/>
      <c r="AK208" s="34">
        <f>SUBTOTAL(9,Table1[[#This Row],[Up Next Priority]:[Campus]])</f>
        <v>0</v>
      </c>
      <c r="AL208" s="52"/>
      <c r="AM208" s="42"/>
      <c r="AN208" s="43"/>
      <c r="AO208" s="44"/>
      <c r="AP208" s="44"/>
      <c r="AQ208" s="44"/>
      <c r="AR208" s="44"/>
      <c r="AS208" s="51"/>
      <c r="AT208" s="44"/>
      <c r="AU208" s="66">
        <f>SUM(Table1[[#This Row],[Org Impact Score]:[Tools]])</f>
        <v>0</v>
      </c>
      <c r="AV208" s="45"/>
      <c r="AW208" s="34"/>
      <c r="AX208" s="34"/>
      <c r="AY208" s="34"/>
    </row>
    <row r="209" spans="1:51">
      <c r="A209" s="31" t="s">
        <v>572</v>
      </c>
      <c r="B209" s="32" t="s">
        <v>195</v>
      </c>
      <c r="C209" s="32" t="b">
        <v>0</v>
      </c>
      <c r="D209" s="32" t="s">
        <v>571</v>
      </c>
      <c r="E209" s="32" t="s">
        <v>890</v>
      </c>
      <c r="F209" s="32" t="s">
        <v>897</v>
      </c>
      <c r="G209" s="32" t="s">
        <v>920</v>
      </c>
      <c r="H209" s="65" t="s">
        <v>573</v>
      </c>
      <c r="I209" s="33"/>
      <c r="J209" s="33"/>
      <c r="K209" s="33"/>
      <c r="L209" s="34"/>
      <c r="M209" s="6"/>
      <c r="N209" s="6"/>
      <c r="O209" s="6"/>
      <c r="P209" s="36"/>
      <c r="Q209" s="34"/>
      <c r="R209" s="34"/>
      <c r="S209" s="34"/>
      <c r="T209" s="37"/>
      <c r="U209" s="37"/>
      <c r="V209" s="38">
        <f>DATEDIF(Table1[[#This Row],[Sponsor*]],Table1[[#This Row],[Start Date*]],"d")</f>
        <v>0</v>
      </c>
      <c r="W209" s="62" t="e">
        <f>DATEDIF([1]!Table1[[#This Row],[Start Date*]],[1]!Table1[[#This Row],[End Date*]],"d")</f>
        <v>#VALUE!</v>
      </c>
      <c r="X209" s="39"/>
      <c r="Y209" s="34"/>
      <c r="Z209" s="34"/>
      <c r="AC209" s="34"/>
      <c r="AE209" s="34"/>
      <c r="AF209" s="40"/>
      <c r="AG209" s="34"/>
      <c r="AH209" s="34"/>
      <c r="AI209" s="34"/>
      <c r="AJ209" s="34"/>
      <c r="AK209" s="34">
        <f>SUBTOTAL(9,Table1[[#This Row],[Up Next Priority]:[Campus]])</f>
        <v>0</v>
      </c>
      <c r="AL209" s="52"/>
      <c r="AM209" s="42"/>
      <c r="AN209" s="43"/>
      <c r="AO209" s="44"/>
      <c r="AP209" s="44"/>
      <c r="AQ209" s="44"/>
      <c r="AR209" s="44"/>
      <c r="AS209" s="51"/>
      <c r="AT209" s="44"/>
      <c r="AU209" s="66">
        <f>SUM(Table1[[#This Row],[Org Impact Score]:[Tools]])</f>
        <v>0</v>
      </c>
      <c r="AV209" s="45"/>
      <c r="AW209" s="34"/>
      <c r="AX209" s="34"/>
      <c r="AY209" s="34"/>
    </row>
    <row r="210" spans="1:51">
      <c r="A210" s="31" t="s">
        <v>569</v>
      </c>
      <c r="B210" s="32" t="s">
        <v>195</v>
      </c>
      <c r="C210" s="32" t="b">
        <v>0</v>
      </c>
      <c r="D210" s="32" t="s">
        <v>568</v>
      </c>
      <c r="E210" s="32" t="s">
        <v>890</v>
      </c>
      <c r="F210" s="32" t="s">
        <v>897</v>
      </c>
      <c r="G210" s="32" t="s">
        <v>907</v>
      </c>
      <c r="H210" s="65" t="s">
        <v>570</v>
      </c>
      <c r="I210" s="33"/>
      <c r="J210" s="33"/>
      <c r="K210" s="33"/>
      <c r="L210" s="34"/>
      <c r="M210" s="6"/>
      <c r="N210" s="6"/>
      <c r="O210" s="6"/>
      <c r="P210" s="36"/>
      <c r="Q210" s="34"/>
      <c r="R210" s="34"/>
      <c r="S210" s="34"/>
      <c r="T210" s="37"/>
      <c r="U210" s="37"/>
      <c r="V210" s="38">
        <f>DATEDIF(Table1[[#This Row],[Sponsor*]],Table1[[#This Row],[Start Date*]],"d")</f>
        <v>0</v>
      </c>
      <c r="W210" s="62" t="e">
        <f>DATEDIF([1]!Table1[[#This Row],[Start Date*]],[1]!Table1[[#This Row],[End Date*]],"d")</f>
        <v>#VALUE!</v>
      </c>
      <c r="X210" s="39"/>
      <c r="Y210" s="34"/>
      <c r="Z210" s="34"/>
      <c r="AC210" s="34"/>
      <c r="AE210" s="34"/>
      <c r="AF210" s="40"/>
      <c r="AG210" s="34"/>
      <c r="AH210" s="34"/>
      <c r="AI210" s="34"/>
      <c r="AJ210" s="34"/>
      <c r="AK210" s="34">
        <f>SUBTOTAL(9,Table1[[#This Row],[Up Next Priority]:[Campus]])</f>
        <v>0</v>
      </c>
      <c r="AL210" s="52"/>
      <c r="AM210" s="42"/>
      <c r="AN210" s="43"/>
      <c r="AO210" s="44"/>
      <c r="AP210" s="44"/>
      <c r="AQ210" s="44"/>
      <c r="AR210" s="44"/>
      <c r="AS210" s="51"/>
      <c r="AT210" s="44"/>
      <c r="AU210" s="66">
        <f>SUM(Table1[[#This Row],[Org Impact Score]:[Tools]])</f>
        <v>0</v>
      </c>
      <c r="AV210" s="45"/>
      <c r="AW210" s="34"/>
      <c r="AX210" s="34"/>
      <c r="AY210" s="34"/>
    </row>
    <row r="211" spans="1:51">
      <c r="A211" s="31" t="s">
        <v>566</v>
      </c>
      <c r="B211" s="32" t="s">
        <v>195</v>
      </c>
      <c r="C211" s="32" t="b">
        <v>0</v>
      </c>
      <c r="D211" s="32" t="s">
        <v>565</v>
      </c>
      <c r="E211" s="32" t="s">
        <v>890</v>
      </c>
      <c r="F211" s="32" t="s">
        <v>897</v>
      </c>
      <c r="G211" s="32" t="s">
        <v>76</v>
      </c>
      <c r="H211" s="65" t="s">
        <v>567</v>
      </c>
      <c r="I211" s="33"/>
      <c r="J211" s="33"/>
      <c r="K211" s="33"/>
      <c r="L211" s="34"/>
      <c r="M211" s="6"/>
      <c r="N211" s="6"/>
      <c r="O211" s="6"/>
      <c r="P211" s="36"/>
      <c r="Q211" s="34"/>
      <c r="R211" s="34"/>
      <c r="S211" s="34"/>
      <c r="T211" s="37"/>
      <c r="U211" s="37"/>
      <c r="V211" s="38">
        <f>DATEDIF(Table1[[#This Row],[Sponsor*]],Table1[[#This Row],[Start Date*]],"d")</f>
        <v>0</v>
      </c>
      <c r="W211" s="62" t="e">
        <f>DATEDIF([1]!Table1[[#This Row],[Start Date*]],[1]!Table1[[#This Row],[End Date*]],"d")</f>
        <v>#VALUE!</v>
      </c>
      <c r="X211" s="39"/>
      <c r="Y211" s="34"/>
      <c r="Z211" s="34"/>
      <c r="AC211" s="34"/>
      <c r="AE211" s="34"/>
      <c r="AF211" s="40"/>
      <c r="AG211" s="34"/>
      <c r="AH211" s="34"/>
      <c r="AI211" s="34"/>
      <c r="AJ211" s="34"/>
      <c r="AK211" s="34">
        <f>SUBTOTAL(9,Table1[[#This Row],[Up Next Priority]:[Campus]])</f>
        <v>0</v>
      </c>
      <c r="AL211" s="52"/>
      <c r="AM211" s="42"/>
      <c r="AN211" s="43"/>
      <c r="AO211" s="44"/>
      <c r="AP211" s="44"/>
      <c r="AQ211" s="44"/>
      <c r="AR211" s="44"/>
      <c r="AS211" s="51"/>
      <c r="AT211" s="44"/>
      <c r="AU211" s="66">
        <f>SUM(Table1[[#This Row],[Org Impact Score]:[Tools]])</f>
        <v>0</v>
      </c>
      <c r="AV211" s="45"/>
      <c r="AW211" s="34"/>
      <c r="AX211" s="34"/>
      <c r="AY211" s="34"/>
    </row>
    <row r="212" spans="1:51">
      <c r="A212" s="31" t="s">
        <v>563</v>
      </c>
      <c r="B212" s="32" t="s">
        <v>195</v>
      </c>
      <c r="C212" s="32" t="b">
        <v>0</v>
      </c>
      <c r="D212" s="56" t="s">
        <v>562</v>
      </c>
      <c r="E212" s="32" t="s">
        <v>890</v>
      </c>
      <c r="F212" s="32" t="s">
        <v>1196</v>
      </c>
      <c r="G212" s="32" t="s">
        <v>910</v>
      </c>
      <c r="H212" s="65" t="s">
        <v>564</v>
      </c>
      <c r="I212" s="33"/>
      <c r="J212" s="33"/>
      <c r="K212" s="33"/>
      <c r="L212" s="34"/>
      <c r="M212" s="6"/>
      <c r="N212" s="6"/>
      <c r="O212" s="6"/>
      <c r="P212" s="36"/>
      <c r="Q212" s="34"/>
      <c r="R212" s="34"/>
      <c r="S212" s="34"/>
      <c r="T212" s="37"/>
      <c r="U212" s="37"/>
      <c r="V212" s="38">
        <f>DATEDIF(Table1[[#This Row],[Sponsor*]],Table1[[#This Row],[Start Date*]],"d")</f>
        <v>0</v>
      </c>
      <c r="W212" s="62" t="e">
        <f>DATEDIF([1]!Table1[[#This Row],[Start Date*]],[1]!Table1[[#This Row],[End Date*]],"d")</f>
        <v>#VALUE!</v>
      </c>
      <c r="X212" s="39"/>
      <c r="Y212" s="34"/>
      <c r="Z212" s="34"/>
      <c r="AC212" s="34"/>
      <c r="AE212" s="34"/>
      <c r="AF212" s="40"/>
      <c r="AG212" s="34"/>
      <c r="AH212" s="34"/>
      <c r="AI212" s="34"/>
      <c r="AJ212" s="34"/>
      <c r="AK212" s="34">
        <f>SUBTOTAL(9,Table1[[#This Row],[Up Next Priority]:[Campus]])</f>
        <v>0</v>
      </c>
      <c r="AL212" s="52"/>
      <c r="AM212" s="42"/>
      <c r="AN212" s="43"/>
      <c r="AO212" s="44"/>
      <c r="AP212" s="44"/>
      <c r="AQ212" s="44"/>
      <c r="AR212" s="44"/>
      <c r="AS212" s="51"/>
      <c r="AT212" s="44"/>
      <c r="AU212" s="66">
        <f>SUM(Table1[[#This Row],[Org Impact Score]:[Tools]])</f>
        <v>0</v>
      </c>
      <c r="AV212" s="45"/>
      <c r="AW212" s="34"/>
      <c r="AX212" s="34"/>
      <c r="AY212" s="34"/>
    </row>
    <row r="213" spans="1:51">
      <c r="A213" s="31" t="s">
        <v>560</v>
      </c>
      <c r="B213" s="32" t="s">
        <v>195</v>
      </c>
      <c r="C213" s="32" t="b">
        <v>0</v>
      </c>
      <c r="D213" s="32" t="s">
        <v>559</v>
      </c>
      <c r="E213" s="32" t="s">
        <v>890</v>
      </c>
      <c r="F213" s="32" t="s">
        <v>1196</v>
      </c>
      <c r="G213" s="32" t="s">
        <v>917</v>
      </c>
      <c r="H213" s="65" t="s">
        <v>561</v>
      </c>
      <c r="I213" s="33"/>
      <c r="J213" s="33"/>
      <c r="K213" s="33"/>
      <c r="L213" s="34"/>
      <c r="M213" s="6"/>
      <c r="N213" s="6"/>
      <c r="O213" s="6"/>
      <c r="P213" s="36"/>
      <c r="Q213" s="34"/>
      <c r="R213" s="34"/>
      <c r="S213" s="34"/>
      <c r="T213" s="37"/>
      <c r="U213" s="37"/>
      <c r="V213" s="38">
        <f>DATEDIF(Table1[[#This Row],[Sponsor*]],Table1[[#This Row],[Start Date*]],"d")</f>
        <v>0</v>
      </c>
      <c r="W213" s="62" t="e">
        <f>DATEDIF([1]!Table1[[#This Row],[Start Date*]],[1]!Table1[[#This Row],[End Date*]],"d")</f>
        <v>#VALUE!</v>
      </c>
      <c r="X213" s="39"/>
      <c r="Y213" s="34"/>
      <c r="Z213" s="34"/>
      <c r="AC213" s="34"/>
      <c r="AE213" s="34"/>
      <c r="AF213" s="40"/>
      <c r="AG213" s="34"/>
      <c r="AH213" s="34"/>
      <c r="AI213" s="34"/>
      <c r="AJ213" s="34"/>
      <c r="AK213" s="34">
        <f>SUBTOTAL(9,Table1[[#This Row],[Up Next Priority]:[Campus]])</f>
        <v>0</v>
      </c>
      <c r="AL213" s="52"/>
      <c r="AM213" s="42"/>
      <c r="AN213" s="43"/>
      <c r="AO213" s="44"/>
      <c r="AP213" s="44"/>
      <c r="AQ213" s="44"/>
      <c r="AR213" s="44"/>
      <c r="AS213" s="51"/>
      <c r="AT213" s="44"/>
      <c r="AU213" s="66">
        <f>SUM(Table1[[#This Row],[Org Impact Score]:[Tools]])</f>
        <v>0</v>
      </c>
      <c r="AV213" s="45"/>
      <c r="AW213" s="34"/>
      <c r="AX213" s="34"/>
      <c r="AY213" s="34"/>
    </row>
    <row r="214" spans="1:51">
      <c r="A214" s="31" t="s">
        <v>557</v>
      </c>
      <c r="B214" s="32" t="s">
        <v>195</v>
      </c>
      <c r="C214" s="32" t="b">
        <v>0</v>
      </c>
      <c r="D214" s="32" t="s">
        <v>556</v>
      </c>
      <c r="E214" s="32" t="s">
        <v>890</v>
      </c>
      <c r="F214" s="32" t="s">
        <v>1196</v>
      </c>
      <c r="G214" s="32" t="s">
        <v>81</v>
      </c>
      <c r="H214" s="65" t="s">
        <v>558</v>
      </c>
      <c r="I214" s="33"/>
      <c r="J214" s="33"/>
      <c r="K214" s="33"/>
      <c r="L214" s="34"/>
      <c r="M214" s="6"/>
      <c r="N214" s="6"/>
      <c r="O214" s="6"/>
      <c r="P214" s="36"/>
      <c r="Q214" s="34"/>
      <c r="R214" s="34"/>
      <c r="S214" s="34"/>
      <c r="T214" s="37"/>
      <c r="U214" s="37"/>
      <c r="V214" s="38">
        <f>DATEDIF(Table1[[#This Row],[Sponsor*]],Table1[[#This Row],[Start Date*]],"d")</f>
        <v>0</v>
      </c>
      <c r="W214" s="62" t="e">
        <f>DATEDIF([1]!Table1[[#This Row],[Start Date*]],[1]!Table1[[#This Row],[End Date*]],"d")</f>
        <v>#VALUE!</v>
      </c>
      <c r="X214" s="39"/>
      <c r="Y214" s="34"/>
      <c r="Z214" s="34"/>
      <c r="AC214" s="34"/>
      <c r="AE214" s="34"/>
      <c r="AF214" s="40"/>
      <c r="AG214" s="34"/>
      <c r="AH214" s="34"/>
      <c r="AI214" s="34"/>
      <c r="AJ214" s="34"/>
      <c r="AK214" s="34">
        <f>SUBTOTAL(9,Table1[[#This Row],[Up Next Priority]:[Campus]])</f>
        <v>0</v>
      </c>
      <c r="AL214" s="52"/>
      <c r="AM214" s="42"/>
      <c r="AN214" s="43"/>
      <c r="AO214" s="44"/>
      <c r="AP214" s="44"/>
      <c r="AQ214" s="44"/>
      <c r="AR214" s="44"/>
      <c r="AS214" s="51"/>
      <c r="AT214" s="44"/>
      <c r="AU214" s="66">
        <f>SUM(Table1[[#This Row],[Org Impact Score]:[Tools]])</f>
        <v>0</v>
      </c>
      <c r="AV214" s="45"/>
      <c r="AW214" s="34"/>
      <c r="AX214" s="34"/>
      <c r="AY214" s="34"/>
    </row>
    <row r="215" spans="1:51">
      <c r="A215" s="31" t="s">
        <v>554</v>
      </c>
      <c r="B215" s="32" t="s">
        <v>195</v>
      </c>
      <c r="C215" s="32" t="b">
        <v>0</v>
      </c>
      <c r="D215" s="32" t="s">
        <v>553</v>
      </c>
      <c r="E215" s="32" t="s">
        <v>890</v>
      </c>
      <c r="F215" s="32" t="s">
        <v>1196</v>
      </c>
      <c r="G215" s="32" t="s">
        <v>921</v>
      </c>
      <c r="H215" s="65" t="s">
        <v>555</v>
      </c>
      <c r="I215" s="33"/>
      <c r="J215" s="33"/>
      <c r="K215" s="33"/>
      <c r="L215" s="34"/>
      <c r="M215" s="6"/>
      <c r="N215" s="6"/>
      <c r="O215" s="6"/>
      <c r="P215" s="36"/>
      <c r="Q215" s="34"/>
      <c r="R215" s="34"/>
      <c r="S215" s="34"/>
      <c r="T215" s="37"/>
      <c r="U215" s="37"/>
      <c r="V215" s="38">
        <f>DATEDIF(Table1[[#This Row],[Sponsor*]],Table1[[#This Row],[Start Date*]],"d")</f>
        <v>0</v>
      </c>
      <c r="W215" s="62" t="e">
        <f>DATEDIF([1]!Table1[[#This Row],[Start Date*]],[1]!Table1[[#This Row],[End Date*]],"d")</f>
        <v>#VALUE!</v>
      </c>
      <c r="X215" s="39"/>
      <c r="Y215" s="34"/>
      <c r="Z215" s="34"/>
      <c r="AC215" s="34"/>
      <c r="AE215" s="34"/>
      <c r="AF215" s="40"/>
      <c r="AG215" s="34"/>
      <c r="AH215" s="34"/>
      <c r="AI215" s="34"/>
      <c r="AJ215" s="34"/>
      <c r="AK215" s="34">
        <f>SUBTOTAL(9,Table1[[#This Row],[Up Next Priority]:[Campus]])</f>
        <v>0</v>
      </c>
      <c r="AL215" s="52"/>
      <c r="AM215" s="42"/>
      <c r="AN215" s="43"/>
      <c r="AO215" s="44"/>
      <c r="AP215" s="44"/>
      <c r="AQ215" s="44"/>
      <c r="AR215" s="44"/>
      <c r="AS215" s="51"/>
      <c r="AT215" s="44"/>
      <c r="AU215" s="66">
        <f>SUM(Table1[[#This Row],[Org Impact Score]:[Tools]])</f>
        <v>0</v>
      </c>
      <c r="AV215" s="45"/>
      <c r="AW215" s="34"/>
      <c r="AX215" s="34"/>
      <c r="AY215" s="34"/>
    </row>
    <row r="216" spans="1:51">
      <c r="A216" s="31" t="s">
        <v>551</v>
      </c>
      <c r="B216" s="32" t="s">
        <v>195</v>
      </c>
      <c r="C216" s="32" t="b">
        <v>0</v>
      </c>
      <c r="D216" s="32" t="s">
        <v>550</v>
      </c>
      <c r="E216" s="32" t="s">
        <v>890</v>
      </c>
      <c r="F216" s="32" t="s">
        <v>1196</v>
      </c>
      <c r="G216" s="32" t="s">
        <v>81</v>
      </c>
      <c r="H216" s="65" t="s">
        <v>552</v>
      </c>
      <c r="I216" s="33"/>
      <c r="J216" s="33"/>
      <c r="K216" s="33"/>
      <c r="L216" s="34"/>
      <c r="M216" s="6"/>
      <c r="N216" s="6"/>
      <c r="O216" s="6"/>
      <c r="P216" s="36"/>
      <c r="Q216" s="34"/>
      <c r="R216" s="34"/>
      <c r="S216" s="34"/>
      <c r="T216" s="37"/>
      <c r="U216" s="37"/>
      <c r="V216" s="38">
        <f>DATEDIF(Table1[[#This Row],[Sponsor*]],Table1[[#This Row],[Start Date*]],"d")</f>
        <v>0</v>
      </c>
      <c r="W216" s="62" t="e">
        <f>DATEDIF([1]!Table1[[#This Row],[Start Date*]],[1]!Table1[[#This Row],[End Date*]],"d")</f>
        <v>#VALUE!</v>
      </c>
      <c r="X216" s="39"/>
      <c r="Y216" s="34"/>
      <c r="Z216" s="34"/>
      <c r="AC216" s="34"/>
      <c r="AE216" s="34"/>
      <c r="AF216" s="40"/>
      <c r="AG216" s="34"/>
      <c r="AH216" s="34"/>
      <c r="AI216" s="34"/>
      <c r="AJ216" s="34"/>
      <c r="AK216" s="34">
        <f>SUBTOTAL(9,Table1[[#This Row],[Up Next Priority]:[Campus]])</f>
        <v>0</v>
      </c>
      <c r="AL216" s="52"/>
      <c r="AM216" s="42"/>
      <c r="AN216" s="43"/>
      <c r="AO216" s="44"/>
      <c r="AP216" s="44"/>
      <c r="AQ216" s="44"/>
      <c r="AR216" s="44"/>
      <c r="AS216" s="51"/>
      <c r="AT216" s="44"/>
      <c r="AU216" s="66">
        <f>SUM(Table1[[#This Row],[Org Impact Score]:[Tools]])</f>
        <v>0</v>
      </c>
      <c r="AV216" s="45"/>
      <c r="AW216" s="34"/>
      <c r="AX216" s="34"/>
      <c r="AY216" s="34"/>
    </row>
    <row r="217" spans="1:51">
      <c r="A217" s="31" t="s">
        <v>548</v>
      </c>
      <c r="B217" s="32" t="s">
        <v>195</v>
      </c>
      <c r="C217" s="32" t="b">
        <v>0</v>
      </c>
      <c r="D217" s="32" t="s">
        <v>547</v>
      </c>
      <c r="E217" s="32" t="s">
        <v>890</v>
      </c>
      <c r="F217" s="32" t="s">
        <v>1196</v>
      </c>
      <c r="G217" s="32" t="s">
        <v>908</v>
      </c>
      <c r="H217" s="65" t="s">
        <v>549</v>
      </c>
      <c r="I217" s="33"/>
      <c r="J217" s="33"/>
      <c r="K217" s="33"/>
      <c r="L217" s="34"/>
      <c r="M217" s="6"/>
      <c r="N217" s="6"/>
      <c r="O217" s="6"/>
      <c r="P217" s="36"/>
      <c r="Q217" s="34"/>
      <c r="R217" s="34"/>
      <c r="S217" s="34"/>
      <c r="T217" s="37"/>
      <c r="U217" s="37"/>
      <c r="V217" s="38">
        <f>DATEDIF(Table1[[#This Row],[Sponsor*]],Table1[[#This Row],[Start Date*]],"d")</f>
        <v>0</v>
      </c>
      <c r="W217" s="62" t="e">
        <f>DATEDIF([1]!Table1[[#This Row],[Start Date*]],[1]!Table1[[#This Row],[End Date*]],"d")</f>
        <v>#VALUE!</v>
      </c>
      <c r="X217" s="39"/>
      <c r="Y217" s="34"/>
      <c r="Z217" s="34"/>
      <c r="AC217" s="34"/>
      <c r="AE217" s="34"/>
      <c r="AF217" s="40"/>
      <c r="AG217" s="34"/>
      <c r="AH217" s="34"/>
      <c r="AI217" s="34"/>
      <c r="AJ217" s="34"/>
      <c r="AK217" s="34">
        <f>SUBTOTAL(9,Table1[[#This Row],[Up Next Priority]:[Campus]])</f>
        <v>0</v>
      </c>
      <c r="AL217" s="52"/>
      <c r="AM217" s="42"/>
      <c r="AN217" s="43"/>
      <c r="AO217" s="44"/>
      <c r="AP217" s="44"/>
      <c r="AQ217" s="44"/>
      <c r="AR217" s="44"/>
      <c r="AS217" s="51"/>
      <c r="AT217" s="44"/>
      <c r="AU217" s="66">
        <f>SUM(Table1[[#This Row],[Org Impact Score]:[Tools]])</f>
        <v>0</v>
      </c>
      <c r="AV217" s="45"/>
      <c r="AW217" s="34"/>
      <c r="AX217" s="34"/>
      <c r="AY217" s="34"/>
    </row>
    <row r="218" spans="1:51">
      <c r="A218" s="31" t="s">
        <v>545</v>
      </c>
      <c r="B218" s="32" t="s">
        <v>195</v>
      </c>
      <c r="C218" s="32" t="b">
        <v>0</v>
      </c>
      <c r="D218" s="32" t="s">
        <v>544</v>
      </c>
      <c r="E218" s="32" t="s">
        <v>890</v>
      </c>
      <c r="F218" s="32" t="s">
        <v>1196</v>
      </c>
      <c r="G218" s="32" t="s">
        <v>76</v>
      </c>
      <c r="H218" s="65" t="s">
        <v>546</v>
      </c>
      <c r="I218" s="33"/>
      <c r="J218" s="33"/>
      <c r="K218" s="33"/>
      <c r="L218" s="34"/>
      <c r="M218" s="6"/>
      <c r="N218" s="6"/>
      <c r="O218" s="6"/>
      <c r="P218" s="36"/>
      <c r="Q218" s="34"/>
      <c r="R218" s="34"/>
      <c r="S218" s="34"/>
      <c r="T218" s="37"/>
      <c r="U218" s="37"/>
      <c r="V218" s="38">
        <f>DATEDIF(Table1[[#This Row],[Sponsor*]],Table1[[#This Row],[Start Date*]],"d")</f>
        <v>0</v>
      </c>
      <c r="W218" s="62" t="e">
        <f>DATEDIF([1]!Table1[[#This Row],[Start Date*]],[1]!Table1[[#This Row],[End Date*]],"d")</f>
        <v>#VALUE!</v>
      </c>
      <c r="X218" s="39"/>
      <c r="Y218" s="34"/>
      <c r="Z218" s="34"/>
      <c r="AC218" s="34"/>
      <c r="AE218" s="34"/>
      <c r="AF218" s="40"/>
      <c r="AG218" s="34"/>
      <c r="AH218" s="34"/>
      <c r="AI218" s="34"/>
      <c r="AJ218" s="34"/>
      <c r="AK218" s="34">
        <f>SUBTOTAL(9,Table1[[#This Row],[Up Next Priority]:[Campus]])</f>
        <v>0</v>
      </c>
      <c r="AL218" s="52"/>
      <c r="AM218" s="42"/>
      <c r="AN218" s="43"/>
      <c r="AO218" s="44"/>
      <c r="AP218" s="44"/>
      <c r="AQ218" s="44"/>
      <c r="AR218" s="44"/>
      <c r="AS218" s="51"/>
      <c r="AT218" s="44"/>
      <c r="AU218" s="66">
        <f>SUM(Table1[[#This Row],[Org Impact Score]:[Tools]])</f>
        <v>0</v>
      </c>
      <c r="AV218" s="45"/>
      <c r="AW218" s="34"/>
      <c r="AX218" s="34"/>
      <c r="AY218" s="34"/>
    </row>
    <row r="219" spans="1:51">
      <c r="A219" s="31" t="s">
        <v>542</v>
      </c>
      <c r="B219" s="32" t="s">
        <v>195</v>
      </c>
      <c r="C219" s="32" t="b">
        <v>0</v>
      </c>
      <c r="D219" s="32" t="s">
        <v>541</v>
      </c>
      <c r="E219" s="32" t="s">
        <v>890</v>
      </c>
      <c r="F219" s="32" t="s">
        <v>1196</v>
      </c>
      <c r="G219" s="32" t="s">
        <v>76</v>
      </c>
      <c r="H219" s="65" t="s">
        <v>543</v>
      </c>
      <c r="I219" s="33"/>
      <c r="J219" s="33"/>
      <c r="K219" s="33"/>
      <c r="L219" s="34"/>
      <c r="M219" s="6"/>
      <c r="N219" s="6"/>
      <c r="O219" s="6"/>
      <c r="P219" s="36"/>
      <c r="Q219" s="34"/>
      <c r="R219" s="34"/>
      <c r="S219" s="34"/>
      <c r="T219" s="37"/>
      <c r="U219" s="37"/>
      <c r="V219" s="38">
        <f>DATEDIF(Table1[[#This Row],[Sponsor*]],Table1[[#This Row],[Start Date*]],"d")</f>
        <v>0</v>
      </c>
      <c r="W219" s="62" t="e">
        <f>DATEDIF([1]!Table1[[#This Row],[Start Date*]],[1]!Table1[[#This Row],[End Date*]],"d")</f>
        <v>#VALUE!</v>
      </c>
      <c r="X219" s="39"/>
      <c r="Y219" s="34"/>
      <c r="Z219" s="34"/>
      <c r="AC219" s="34"/>
      <c r="AE219" s="34"/>
      <c r="AF219" s="40"/>
      <c r="AG219" s="34"/>
      <c r="AH219" s="34"/>
      <c r="AI219" s="34"/>
      <c r="AJ219" s="34"/>
      <c r="AK219" s="34">
        <f>SUBTOTAL(9,Table1[[#This Row],[Up Next Priority]:[Campus]])</f>
        <v>0</v>
      </c>
      <c r="AL219" s="52"/>
      <c r="AM219" s="42"/>
      <c r="AN219" s="43"/>
      <c r="AO219" s="44"/>
      <c r="AP219" s="44"/>
      <c r="AQ219" s="44"/>
      <c r="AR219" s="44"/>
      <c r="AS219" s="51"/>
      <c r="AT219" s="44"/>
      <c r="AU219" s="66">
        <f>SUM(Table1[[#This Row],[Org Impact Score]:[Tools]])</f>
        <v>0</v>
      </c>
      <c r="AV219" s="45"/>
      <c r="AW219" s="34"/>
      <c r="AX219" s="34"/>
      <c r="AY219" s="34"/>
    </row>
    <row r="220" spans="1:51">
      <c r="A220" s="31" t="s">
        <v>1377</v>
      </c>
      <c r="B220" s="32" t="s">
        <v>195</v>
      </c>
      <c r="C220" s="32" t="b">
        <v>1</v>
      </c>
      <c r="D220" s="32" t="s">
        <v>1376</v>
      </c>
      <c r="E220" s="32" t="s">
        <v>890</v>
      </c>
      <c r="F220" s="32" t="s">
        <v>1353</v>
      </c>
      <c r="G220" s="32" t="s">
        <v>76</v>
      </c>
      <c r="H220" s="65" t="s">
        <v>1378</v>
      </c>
      <c r="I220" s="33"/>
      <c r="J220" s="33"/>
      <c r="K220" s="33"/>
      <c r="L220" s="34"/>
      <c r="M220" s="6"/>
      <c r="N220" s="6"/>
      <c r="O220" s="6"/>
      <c r="P220" s="36"/>
      <c r="Q220" s="34"/>
      <c r="R220" s="34"/>
      <c r="S220" s="34"/>
      <c r="T220" s="37"/>
      <c r="U220" s="37"/>
      <c r="V220" s="38">
        <f>DATEDIF(Table1[[#This Row],[Sponsor*]],Table1[[#This Row],[Start Date*]],"d")</f>
        <v>0</v>
      </c>
      <c r="W220" s="62" t="e">
        <f>DATEDIF([1]!Table1[[#This Row],[Start Date*]],[1]!Table1[[#This Row],[End Date*]],"d")</f>
        <v>#VALUE!</v>
      </c>
      <c r="X220" s="39"/>
      <c r="Y220" s="34"/>
      <c r="Z220" s="34"/>
      <c r="AC220" s="34"/>
      <c r="AE220" s="34"/>
      <c r="AF220" s="40"/>
      <c r="AG220" s="34"/>
      <c r="AH220" s="34"/>
      <c r="AI220" s="34"/>
      <c r="AJ220" s="34"/>
      <c r="AK220" s="34">
        <f>SUBTOTAL(9,Table1[[#This Row],[Up Next Priority]:[Campus]])</f>
        <v>0</v>
      </c>
      <c r="AL220" s="52"/>
      <c r="AM220" s="42"/>
      <c r="AN220" s="43"/>
      <c r="AO220" s="44"/>
      <c r="AP220" s="44"/>
      <c r="AQ220" s="44"/>
      <c r="AR220" s="44"/>
      <c r="AS220" s="51"/>
      <c r="AT220" s="44"/>
      <c r="AU220" s="66">
        <f>SUM(Table1[[#This Row],[Org Impact Score]:[Tools]])</f>
        <v>0</v>
      </c>
      <c r="AV220" s="45"/>
      <c r="AW220" s="34"/>
      <c r="AX220" s="34"/>
      <c r="AY220" s="34"/>
    </row>
    <row r="221" spans="1:51">
      <c r="A221" s="31" t="s">
        <v>1374</v>
      </c>
      <c r="B221" s="32" t="s">
        <v>195</v>
      </c>
      <c r="C221" s="32" t="b">
        <v>0</v>
      </c>
      <c r="D221" s="32" t="s">
        <v>1373</v>
      </c>
      <c r="E221" s="32" t="s">
        <v>890</v>
      </c>
      <c r="F221" s="32" t="s">
        <v>1353</v>
      </c>
      <c r="G221" s="32"/>
      <c r="H221" s="65" t="s">
        <v>1375</v>
      </c>
      <c r="I221" s="33"/>
      <c r="J221" s="33"/>
      <c r="K221" s="33"/>
      <c r="L221" s="34"/>
      <c r="M221" s="6"/>
      <c r="N221" s="6"/>
      <c r="O221" s="6"/>
      <c r="P221" s="36"/>
      <c r="Q221" s="34"/>
      <c r="R221" s="34"/>
      <c r="S221" s="34"/>
      <c r="T221" s="37"/>
      <c r="U221" s="37"/>
      <c r="V221" s="38">
        <f>DATEDIF(Table1[[#This Row],[Sponsor*]],Table1[[#This Row],[Start Date*]],"d")</f>
        <v>0</v>
      </c>
      <c r="W221" s="62" t="e">
        <f>DATEDIF([1]!Table1[[#This Row],[Start Date*]],[1]!Table1[[#This Row],[End Date*]],"d")</f>
        <v>#VALUE!</v>
      </c>
      <c r="X221" s="39"/>
      <c r="Y221" s="34"/>
      <c r="Z221" s="34"/>
      <c r="AC221" s="34"/>
      <c r="AE221" s="34"/>
      <c r="AF221" s="40"/>
      <c r="AG221" s="34"/>
      <c r="AH221" s="34"/>
      <c r="AI221" s="34"/>
      <c r="AJ221" s="34"/>
      <c r="AK221" s="34">
        <f>SUBTOTAL(9,Table1[[#This Row],[Up Next Priority]:[Campus]])</f>
        <v>0</v>
      </c>
      <c r="AL221" s="52"/>
      <c r="AM221" s="42"/>
      <c r="AN221" s="43"/>
      <c r="AO221" s="44"/>
      <c r="AP221" s="44"/>
      <c r="AQ221" s="44"/>
      <c r="AR221" s="44"/>
      <c r="AS221" s="51"/>
      <c r="AT221" s="44"/>
      <c r="AU221" s="66">
        <f>SUM(Table1[[#This Row],[Org Impact Score]:[Tools]])</f>
        <v>0</v>
      </c>
      <c r="AV221" s="45"/>
      <c r="AW221" s="34"/>
      <c r="AX221" s="34"/>
      <c r="AY221" s="34"/>
    </row>
    <row r="222" spans="1:51">
      <c r="A222" s="31" t="s">
        <v>1371</v>
      </c>
      <c r="B222" s="32" t="s">
        <v>195</v>
      </c>
      <c r="C222" s="32" t="b">
        <v>1</v>
      </c>
      <c r="D222" s="32" t="s">
        <v>1370</v>
      </c>
      <c r="E222" s="32" t="s">
        <v>890</v>
      </c>
      <c r="F222" s="32" t="s">
        <v>1353</v>
      </c>
      <c r="G222" s="32"/>
      <c r="H222" s="65" t="s">
        <v>1372</v>
      </c>
      <c r="I222" s="33"/>
      <c r="J222" s="33"/>
      <c r="K222" s="33"/>
      <c r="L222" s="34"/>
      <c r="M222" s="6"/>
      <c r="N222" s="6"/>
      <c r="O222" s="6"/>
      <c r="P222" s="36"/>
      <c r="Q222" s="34"/>
      <c r="R222" s="34"/>
      <c r="S222" s="34"/>
      <c r="T222" s="37"/>
      <c r="U222" s="37"/>
      <c r="V222" s="38">
        <f>DATEDIF(Table1[[#This Row],[Sponsor*]],Table1[[#This Row],[Start Date*]],"d")</f>
        <v>0</v>
      </c>
      <c r="W222" s="62" t="e">
        <f>DATEDIF([1]!Table1[[#This Row],[Start Date*]],[1]!Table1[[#This Row],[End Date*]],"d")</f>
        <v>#VALUE!</v>
      </c>
      <c r="X222" s="39"/>
      <c r="Y222" s="34"/>
      <c r="Z222" s="34"/>
      <c r="AC222" s="34"/>
      <c r="AE222" s="34"/>
      <c r="AF222" s="40"/>
      <c r="AG222" s="34"/>
      <c r="AH222" s="34"/>
      <c r="AI222" s="34"/>
      <c r="AJ222" s="34"/>
      <c r="AK222" s="34">
        <f>SUBTOTAL(9,Table1[[#This Row],[Up Next Priority]:[Campus]])</f>
        <v>0</v>
      </c>
      <c r="AL222" s="52"/>
      <c r="AM222" s="42"/>
      <c r="AN222" s="43"/>
      <c r="AO222" s="44"/>
      <c r="AP222" s="44"/>
      <c r="AQ222" s="44"/>
      <c r="AR222" s="44"/>
      <c r="AS222" s="51"/>
      <c r="AT222" s="44"/>
      <c r="AU222" s="66">
        <f>SUM(Table1[[#This Row],[Org Impact Score]:[Tools]])</f>
        <v>0</v>
      </c>
      <c r="AV222" s="45"/>
      <c r="AW222" s="34"/>
      <c r="AX222" s="34"/>
      <c r="AY222" s="34"/>
    </row>
    <row r="223" spans="1:51">
      <c r="A223" s="31" t="s">
        <v>967</v>
      </c>
      <c r="B223" s="32" t="s">
        <v>195</v>
      </c>
      <c r="C223" s="32" t="b">
        <v>0</v>
      </c>
      <c r="D223" s="32" t="s">
        <v>966</v>
      </c>
      <c r="E223" s="32" t="s">
        <v>1117</v>
      </c>
      <c r="F223" s="32" t="s">
        <v>1118</v>
      </c>
      <c r="G223" s="32" t="s">
        <v>1126</v>
      </c>
      <c r="H223" s="65" t="s">
        <v>968</v>
      </c>
      <c r="I223" s="33"/>
      <c r="J223" s="33"/>
      <c r="K223" s="33"/>
      <c r="L223" s="34"/>
      <c r="M223" s="6"/>
      <c r="N223" s="6"/>
      <c r="O223" s="6"/>
      <c r="P223" s="36"/>
      <c r="Q223" s="34"/>
      <c r="R223" s="34"/>
      <c r="S223" s="34"/>
      <c r="T223" s="37"/>
      <c r="U223" s="37"/>
      <c r="V223" s="38">
        <f>DATEDIF(Table1[[#This Row],[Sponsor*]],Table1[[#This Row],[Start Date*]],"d")</f>
        <v>0</v>
      </c>
      <c r="W223" s="62" t="e">
        <f>DATEDIF([1]!Table1[[#This Row],[Start Date*]],[1]!Table1[[#This Row],[End Date*]],"d")</f>
        <v>#VALUE!</v>
      </c>
      <c r="X223" s="39"/>
      <c r="Y223" s="34"/>
      <c r="Z223" s="34"/>
      <c r="AC223" s="34"/>
      <c r="AE223" s="34"/>
      <c r="AF223" s="40"/>
      <c r="AG223" s="34"/>
      <c r="AH223" s="34"/>
      <c r="AI223" s="34"/>
      <c r="AJ223" s="34"/>
      <c r="AK223" s="34">
        <f>SUBTOTAL(9,Table1[[#This Row],[Up Next Priority]:[Campus]])</f>
        <v>0</v>
      </c>
      <c r="AL223" s="52"/>
      <c r="AM223" s="42"/>
      <c r="AN223" s="43"/>
      <c r="AO223" s="44"/>
      <c r="AP223" s="44"/>
      <c r="AQ223" s="44"/>
      <c r="AR223" s="44"/>
      <c r="AS223" s="51"/>
      <c r="AT223" s="44"/>
      <c r="AU223" s="66">
        <f>SUM(Table1[[#This Row],[Org Impact Score]:[Tools]])</f>
        <v>0</v>
      </c>
      <c r="AV223" s="45"/>
      <c r="AW223" s="34"/>
      <c r="AX223" s="34"/>
      <c r="AY223" s="34"/>
    </row>
    <row r="224" spans="1:51">
      <c r="A224" s="31" t="s">
        <v>1366</v>
      </c>
      <c r="B224" s="32" t="s">
        <v>195</v>
      </c>
      <c r="C224" s="32" t="b">
        <v>0</v>
      </c>
      <c r="D224" s="32" t="s">
        <v>1365</v>
      </c>
      <c r="E224" s="32" t="s">
        <v>890</v>
      </c>
      <c r="F224" s="32" t="s">
        <v>1353</v>
      </c>
      <c r="G224" s="32" t="s">
        <v>81</v>
      </c>
      <c r="H224" s="65" t="s">
        <v>1367</v>
      </c>
      <c r="I224" s="33"/>
      <c r="J224" s="33"/>
      <c r="K224" s="33"/>
      <c r="L224" s="34"/>
      <c r="M224" s="6"/>
      <c r="N224" s="6"/>
      <c r="O224" s="6"/>
      <c r="P224" s="36"/>
      <c r="Q224" s="34"/>
      <c r="R224" s="34"/>
      <c r="S224" s="34"/>
      <c r="T224" s="37"/>
      <c r="U224" s="37"/>
      <c r="V224" s="38">
        <f>DATEDIF(Table1[[#This Row],[Sponsor*]],Table1[[#This Row],[Start Date*]],"d")</f>
        <v>0</v>
      </c>
      <c r="W224" s="62" t="e">
        <f>DATEDIF([1]!Table1[[#This Row],[Start Date*]],[1]!Table1[[#This Row],[End Date*]],"d")</f>
        <v>#VALUE!</v>
      </c>
      <c r="X224" s="39"/>
      <c r="Y224" s="34"/>
      <c r="Z224" s="34"/>
      <c r="AC224" s="34"/>
      <c r="AE224" s="34"/>
      <c r="AF224" s="40"/>
      <c r="AG224" s="34"/>
      <c r="AH224" s="34"/>
      <c r="AI224" s="34"/>
      <c r="AJ224" s="34"/>
      <c r="AK224" s="34">
        <f>SUBTOTAL(9,Table1[[#This Row],[Up Next Priority]:[Campus]])</f>
        <v>0</v>
      </c>
      <c r="AL224" s="52"/>
      <c r="AM224" s="42"/>
      <c r="AN224" s="43"/>
      <c r="AO224" s="44"/>
      <c r="AP224" s="44"/>
      <c r="AQ224" s="44"/>
      <c r="AR224" s="44"/>
      <c r="AS224" s="51"/>
      <c r="AT224" s="44"/>
      <c r="AU224" s="66">
        <f>SUM(Table1[[#This Row],[Org Impact Score]:[Tools]])</f>
        <v>0</v>
      </c>
      <c r="AV224" s="45"/>
      <c r="AW224" s="34"/>
      <c r="AX224" s="34"/>
      <c r="AY224" s="34"/>
    </row>
    <row r="225" spans="1:51">
      <c r="A225" s="31" t="s">
        <v>1363</v>
      </c>
      <c r="B225" s="32" t="s">
        <v>195</v>
      </c>
      <c r="C225" s="32" t="b">
        <v>0</v>
      </c>
      <c r="D225" s="32" t="s">
        <v>1362</v>
      </c>
      <c r="E225" s="32" t="s">
        <v>890</v>
      </c>
      <c r="F225" s="32" t="s">
        <v>1353</v>
      </c>
      <c r="G225" s="32" t="s">
        <v>81</v>
      </c>
      <c r="H225" s="65" t="s">
        <v>1364</v>
      </c>
      <c r="I225" s="33"/>
      <c r="J225" s="33"/>
      <c r="K225" s="33"/>
      <c r="L225" s="34"/>
      <c r="M225" s="6"/>
      <c r="N225" s="6"/>
      <c r="O225" s="6"/>
      <c r="P225" s="36"/>
      <c r="Q225" s="34"/>
      <c r="R225" s="34"/>
      <c r="S225" s="34"/>
      <c r="T225" s="37"/>
      <c r="U225" s="37"/>
      <c r="V225" s="38">
        <f>DATEDIF(Table1[[#This Row],[Sponsor*]],Table1[[#This Row],[Start Date*]],"d")</f>
        <v>0</v>
      </c>
      <c r="W225" s="62" t="e">
        <f>DATEDIF([1]!Table1[[#This Row],[Start Date*]],[1]!Table1[[#This Row],[End Date*]],"d")</f>
        <v>#VALUE!</v>
      </c>
      <c r="X225" s="39"/>
      <c r="Y225" s="34"/>
      <c r="Z225" s="34"/>
      <c r="AC225" s="34"/>
      <c r="AE225" s="34"/>
      <c r="AF225" s="40"/>
      <c r="AG225" s="34"/>
      <c r="AH225" s="34"/>
      <c r="AI225" s="34"/>
      <c r="AJ225" s="34"/>
      <c r="AK225" s="34">
        <f>SUBTOTAL(9,Table1[[#This Row],[Up Next Priority]:[Campus]])</f>
        <v>0</v>
      </c>
      <c r="AL225" s="52"/>
      <c r="AM225" s="42"/>
      <c r="AN225" s="43"/>
      <c r="AO225" s="44"/>
      <c r="AP225" s="44"/>
      <c r="AQ225" s="44"/>
      <c r="AR225" s="44"/>
      <c r="AS225" s="51"/>
      <c r="AT225" s="44"/>
      <c r="AU225" s="66">
        <f>SUM(Table1[[#This Row],[Org Impact Score]:[Tools]])</f>
        <v>0</v>
      </c>
      <c r="AV225" s="45"/>
      <c r="AW225" s="34"/>
      <c r="AX225" s="34"/>
      <c r="AY225" s="34"/>
    </row>
    <row r="226" spans="1:51">
      <c r="A226" s="31" t="s">
        <v>1360</v>
      </c>
      <c r="B226" s="32" t="s">
        <v>195</v>
      </c>
      <c r="C226" s="32" t="b">
        <v>0</v>
      </c>
      <c r="D226" s="32" t="s">
        <v>1359</v>
      </c>
      <c r="E226" s="32" t="s">
        <v>890</v>
      </c>
      <c r="F226" s="32" t="s">
        <v>1353</v>
      </c>
      <c r="G226" s="32" t="s">
        <v>76</v>
      </c>
      <c r="H226" s="65" t="s">
        <v>1361</v>
      </c>
      <c r="I226" s="33"/>
      <c r="J226" s="33"/>
      <c r="K226" s="33"/>
      <c r="L226" s="34"/>
      <c r="M226" s="6"/>
      <c r="N226" s="6"/>
      <c r="O226" s="6"/>
      <c r="P226" s="36"/>
      <c r="Q226" s="34"/>
      <c r="R226" s="34"/>
      <c r="S226" s="34"/>
      <c r="T226" s="37"/>
      <c r="U226" s="37"/>
      <c r="V226" s="38">
        <f>DATEDIF(Table1[[#This Row],[Sponsor*]],Table1[[#This Row],[Start Date*]],"d")</f>
        <v>0</v>
      </c>
      <c r="W226" s="62" t="e">
        <f>DATEDIF([1]!Table1[[#This Row],[Start Date*]],[1]!Table1[[#This Row],[End Date*]],"d")</f>
        <v>#VALUE!</v>
      </c>
      <c r="X226" s="39"/>
      <c r="Y226" s="34"/>
      <c r="Z226" s="34"/>
      <c r="AC226" s="34"/>
      <c r="AE226" s="34"/>
      <c r="AF226" s="40"/>
      <c r="AG226" s="34"/>
      <c r="AH226" s="34"/>
      <c r="AI226" s="34"/>
      <c r="AJ226" s="34"/>
      <c r="AK226" s="34">
        <f>SUBTOTAL(9,Table1[[#This Row],[Up Next Priority]:[Campus]])</f>
        <v>0</v>
      </c>
      <c r="AL226" s="52"/>
      <c r="AM226" s="42"/>
      <c r="AN226" s="43"/>
      <c r="AO226" s="44"/>
      <c r="AP226" s="44"/>
      <c r="AQ226" s="44"/>
      <c r="AR226" s="44"/>
      <c r="AS226" s="51"/>
      <c r="AT226" s="44"/>
      <c r="AU226" s="66">
        <f>SUM(Table1[[#This Row],[Org Impact Score]:[Tools]])</f>
        <v>0</v>
      </c>
      <c r="AV226" s="45"/>
      <c r="AW226" s="34"/>
      <c r="AX226" s="34"/>
      <c r="AY226" s="34"/>
    </row>
    <row r="227" spans="1:51">
      <c r="A227" s="31" t="s">
        <v>1357</v>
      </c>
      <c r="B227" s="32" t="s">
        <v>195</v>
      </c>
      <c r="C227" s="32" t="b">
        <v>0</v>
      </c>
      <c r="D227" s="32" t="s">
        <v>1356</v>
      </c>
      <c r="E227" s="32" t="s">
        <v>890</v>
      </c>
      <c r="F227" s="32" t="s">
        <v>1353</v>
      </c>
      <c r="G227" s="32" t="s">
        <v>76</v>
      </c>
      <c r="H227" s="65" t="s">
        <v>1358</v>
      </c>
      <c r="I227" s="33"/>
      <c r="J227" s="33"/>
      <c r="K227" s="33"/>
      <c r="L227" s="34"/>
      <c r="M227" s="6"/>
      <c r="N227" s="6"/>
      <c r="O227" s="6"/>
      <c r="P227" s="36"/>
      <c r="Q227" s="34"/>
      <c r="R227" s="34"/>
      <c r="S227" s="34"/>
      <c r="T227" s="37"/>
      <c r="U227" s="37"/>
      <c r="V227" s="38">
        <f>DATEDIF(Table1[[#This Row],[Sponsor*]],Table1[[#This Row],[Start Date*]],"d")</f>
        <v>0</v>
      </c>
      <c r="W227" s="62" t="e">
        <f>DATEDIF([1]!Table1[[#This Row],[Start Date*]],[1]!Table1[[#This Row],[End Date*]],"d")</f>
        <v>#VALUE!</v>
      </c>
      <c r="X227" s="39"/>
      <c r="Y227" s="34"/>
      <c r="Z227" s="34"/>
      <c r="AC227" s="34"/>
      <c r="AE227" s="34"/>
      <c r="AF227" s="40"/>
      <c r="AG227" s="34"/>
      <c r="AH227" s="34"/>
      <c r="AI227" s="34"/>
      <c r="AJ227" s="34"/>
      <c r="AK227" s="34">
        <f>SUBTOTAL(9,Table1[[#This Row],[Up Next Priority]:[Campus]])</f>
        <v>0</v>
      </c>
      <c r="AL227" s="52"/>
      <c r="AM227" s="42"/>
      <c r="AN227" s="43"/>
      <c r="AO227" s="44"/>
      <c r="AP227" s="44"/>
      <c r="AQ227" s="44"/>
      <c r="AR227" s="44"/>
      <c r="AS227" s="51"/>
      <c r="AT227" s="44"/>
      <c r="AU227" s="66">
        <f>SUM(Table1[[#This Row],[Org Impact Score]:[Tools]])</f>
        <v>0</v>
      </c>
      <c r="AV227" s="45"/>
      <c r="AW227" s="34"/>
      <c r="AX227" s="34"/>
      <c r="AY227" s="34"/>
    </row>
    <row r="228" spans="1:51">
      <c r="A228" s="31" t="s">
        <v>1354</v>
      </c>
      <c r="B228" s="32" t="s">
        <v>195</v>
      </c>
      <c r="C228" s="32" t="b">
        <v>1</v>
      </c>
      <c r="D228" s="32" t="s">
        <v>1352</v>
      </c>
      <c r="E228" s="32" t="s">
        <v>890</v>
      </c>
      <c r="F228" s="32" t="s">
        <v>1353</v>
      </c>
      <c r="G228" s="32"/>
      <c r="H228" s="65" t="s">
        <v>1355</v>
      </c>
      <c r="I228" s="33"/>
      <c r="J228" s="33"/>
      <c r="K228" s="33"/>
      <c r="L228" s="34"/>
      <c r="M228" s="6"/>
      <c r="N228" s="6"/>
      <c r="O228" s="6"/>
      <c r="P228" s="36"/>
      <c r="Q228" s="34"/>
      <c r="R228" s="34"/>
      <c r="S228" s="34"/>
      <c r="T228" s="37"/>
      <c r="U228" s="37"/>
      <c r="V228" s="38">
        <f>DATEDIF(Table1[[#This Row],[Sponsor*]],Table1[[#This Row],[Start Date*]],"d")</f>
        <v>0</v>
      </c>
      <c r="W228" s="62" t="e">
        <f>DATEDIF([1]!Table1[[#This Row],[Start Date*]],[1]!Table1[[#This Row],[End Date*]],"d")</f>
        <v>#VALUE!</v>
      </c>
      <c r="X228" s="39"/>
      <c r="Y228" s="34"/>
      <c r="Z228" s="34"/>
      <c r="AC228" s="34"/>
      <c r="AE228" s="34"/>
      <c r="AF228" s="40"/>
      <c r="AG228" s="34"/>
      <c r="AH228" s="34"/>
      <c r="AI228" s="34"/>
      <c r="AJ228" s="34"/>
      <c r="AK228" s="34">
        <f>SUBTOTAL(9,Table1[[#This Row],[Up Next Priority]:[Campus]])</f>
        <v>0</v>
      </c>
      <c r="AL228" s="52"/>
      <c r="AM228" s="42"/>
      <c r="AN228" s="43"/>
      <c r="AO228" s="44"/>
      <c r="AP228" s="44"/>
      <c r="AQ228" s="44"/>
      <c r="AR228" s="44"/>
      <c r="AS228" s="51"/>
      <c r="AT228" s="44"/>
      <c r="AU228" s="66">
        <f>SUM(Table1[[#This Row],[Org Impact Score]:[Tools]])</f>
        <v>0</v>
      </c>
      <c r="AV228" s="45"/>
      <c r="AW228" s="34"/>
      <c r="AX228" s="34"/>
      <c r="AY228" s="34"/>
    </row>
    <row r="229" spans="1:51">
      <c r="A229" s="31" t="s">
        <v>1350</v>
      </c>
      <c r="B229" s="32" t="s">
        <v>195</v>
      </c>
      <c r="C229" s="32" t="b">
        <v>0</v>
      </c>
      <c r="D229" s="32" t="s">
        <v>1349</v>
      </c>
      <c r="E229" s="32" t="s">
        <v>890</v>
      </c>
      <c r="F229" s="32" t="s">
        <v>1289</v>
      </c>
      <c r="G229" s="32"/>
      <c r="H229" s="65" t="s">
        <v>1351</v>
      </c>
      <c r="I229" s="33"/>
      <c r="J229" s="33"/>
      <c r="K229" s="33"/>
      <c r="L229" s="34"/>
      <c r="M229" s="6"/>
      <c r="N229" s="6"/>
      <c r="O229" s="6"/>
      <c r="P229" s="36"/>
      <c r="Q229" s="34"/>
      <c r="R229" s="34"/>
      <c r="S229" s="34"/>
      <c r="T229" s="37"/>
      <c r="U229" s="37"/>
      <c r="V229" s="38">
        <f>DATEDIF(Table1[[#This Row],[Sponsor*]],Table1[[#This Row],[Start Date*]],"d")</f>
        <v>0</v>
      </c>
      <c r="W229" s="62" t="e">
        <f>DATEDIF([1]!Table1[[#This Row],[Start Date*]],[1]!Table1[[#This Row],[End Date*]],"d")</f>
        <v>#VALUE!</v>
      </c>
      <c r="X229" s="39"/>
      <c r="Y229" s="34"/>
      <c r="Z229" s="34"/>
      <c r="AC229" s="34"/>
      <c r="AE229" s="34"/>
      <c r="AF229" s="40"/>
      <c r="AG229" s="34"/>
      <c r="AH229" s="34"/>
      <c r="AI229" s="34"/>
      <c r="AJ229" s="34"/>
      <c r="AK229" s="34">
        <f>SUBTOTAL(9,Table1[[#This Row],[Up Next Priority]:[Campus]])</f>
        <v>0</v>
      </c>
      <c r="AL229" s="52"/>
      <c r="AM229" s="42"/>
      <c r="AN229" s="43"/>
      <c r="AO229" s="44"/>
      <c r="AP229" s="44"/>
      <c r="AQ229" s="44"/>
      <c r="AR229" s="44"/>
      <c r="AS229" s="51"/>
      <c r="AT229" s="44"/>
      <c r="AU229" s="66">
        <f>SUM(Table1[[#This Row],[Org Impact Score]:[Tools]])</f>
        <v>0</v>
      </c>
      <c r="AV229" s="45"/>
      <c r="AW229" s="34"/>
      <c r="AX229" s="34"/>
      <c r="AY229" s="34"/>
    </row>
    <row r="230" spans="1:51">
      <c r="A230" s="31" t="s">
        <v>1347</v>
      </c>
      <c r="B230" s="32" t="s">
        <v>195</v>
      </c>
      <c r="C230" s="32" t="b">
        <v>0</v>
      </c>
      <c r="D230" s="32" t="s">
        <v>1346</v>
      </c>
      <c r="E230" s="32" t="s">
        <v>890</v>
      </c>
      <c r="F230" s="32" t="s">
        <v>1289</v>
      </c>
      <c r="G230" s="32"/>
      <c r="H230" s="65" t="s">
        <v>1348</v>
      </c>
      <c r="I230" s="33"/>
      <c r="J230" s="33"/>
      <c r="K230" s="33"/>
      <c r="L230" s="34"/>
      <c r="M230" s="6"/>
      <c r="N230" s="6"/>
      <c r="O230" s="6"/>
      <c r="P230" s="36"/>
      <c r="Q230" s="34"/>
      <c r="R230" s="34"/>
      <c r="S230" s="34"/>
      <c r="T230" s="37"/>
      <c r="U230" s="37"/>
      <c r="V230" s="38">
        <f>DATEDIF(Table1[[#This Row],[Sponsor*]],Table1[[#This Row],[Start Date*]],"d")</f>
        <v>0</v>
      </c>
      <c r="W230" s="62" t="e">
        <f>DATEDIF([1]!Table1[[#This Row],[Start Date*]],[1]!Table1[[#This Row],[End Date*]],"d")</f>
        <v>#VALUE!</v>
      </c>
      <c r="X230" s="39"/>
      <c r="Y230" s="34"/>
      <c r="Z230" s="34"/>
      <c r="AC230" s="34"/>
      <c r="AE230" s="34"/>
      <c r="AF230" s="40"/>
      <c r="AG230" s="34"/>
      <c r="AH230" s="34"/>
      <c r="AI230" s="34"/>
      <c r="AJ230" s="34"/>
      <c r="AK230" s="34">
        <f>SUBTOTAL(9,Table1[[#This Row],[Up Next Priority]:[Campus]])</f>
        <v>0</v>
      </c>
      <c r="AL230" s="52"/>
      <c r="AM230" s="42"/>
      <c r="AN230" s="43"/>
      <c r="AO230" s="44"/>
      <c r="AP230" s="44"/>
      <c r="AQ230" s="44"/>
      <c r="AR230" s="44"/>
      <c r="AS230" s="51"/>
      <c r="AT230" s="44"/>
      <c r="AU230" s="66">
        <f>SUM(Table1[[#This Row],[Org Impact Score]:[Tools]])</f>
        <v>0</v>
      </c>
      <c r="AV230" s="45"/>
      <c r="AW230" s="34"/>
      <c r="AX230" s="34"/>
      <c r="AY230" s="34"/>
    </row>
    <row r="231" spans="1:51">
      <c r="A231" s="31" t="s">
        <v>1344</v>
      </c>
      <c r="B231" s="32" t="s">
        <v>195</v>
      </c>
      <c r="C231" s="32" t="b">
        <v>0</v>
      </c>
      <c r="D231" s="32" t="s">
        <v>1343</v>
      </c>
      <c r="E231" s="32" t="s">
        <v>890</v>
      </c>
      <c r="F231" s="32" t="s">
        <v>1289</v>
      </c>
      <c r="G231" s="32" t="s">
        <v>911</v>
      </c>
      <c r="H231" s="65" t="s">
        <v>1345</v>
      </c>
      <c r="I231" s="33"/>
      <c r="J231" s="33"/>
      <c r="K231" s="33"/>
      <c r="L231" s="34"/>
      <c r="M231" s="6"/>
      <c r="N231" s="6"/>
      <c r="O231" s="6"/>
      <c r="P231" s="36"/>
      <c r="Q231" s="34"/>
      <c r="R231" s="34"/>
      <c r="S231" s="34"/>
      <c r="T231" s="37"/>
      <c r="U231" s="37"/>
      <c r="V231" s="38">
        <f>DATEDIF(Table1[[#This Row],[Sponsor*]],Table1[[#This Row],[Start Date*]],"d")</f>
        <v>0</v>
      </c>
      <c r="W231" s="62" t="e">
        <f>DATEDIF([1]!Table1[[#This Row],[Start Date*]],[1]!Table1[[#This Row],[End Date*]],"d")</f>
        <v>#VALUE!</v>
      </c>
      <c r="X231" s="39"/>
      <c r="Y231" s="34"/>
      <c r="Z231" s="34"/>
      <c r="AC231" s="34"/>
      <c r="AE231" s="34"/>
      <c r="AF231" s="40"/>
      <c r="AG231" s="34"/>
      <c r="AH231" s="34"/>
      <c r="AI231" s="34"/>
      <c r="AJ231" s="34"/>
      <c r="AK231" s="34">
        <f>SUBTOTAL(9,Table1[[#This Row],[Up Next Priority]:[Campus]])</f>
        <v>0</v>
      </c>
      <c r="AL231" s="52"/>
      <c r="AM231" s="42"/>
      <c r="AN231" s="43"/>
      <c r="AO231" s="44"/>
      <c r="AP231" s="44"/>
      <c r="AQ231" s="44"/>
      <c r="AR231" s="44"/>
      <c r="AS231" s="51"/>
      <c r="AT231" s="44"/>
      <c r="AU231" s="66">
        <f>SUM(Table1[[#This Row],[Org Impact Score]:[Tools]])</f>
        <v>0</v>
      </c>
      <c r="AV231" s="45"/>
      <c r="AW231" s="34"/>
      <c r="AX231" s="34"/>
      <c r="AY231" s="34"/>
    </row>
    <row r="232" spans="1:51">
      <c r="A232" s="31" t="s">
        <v>1341</v>
      </c>
      <c r="B232" s="32" t="s">
        <v>195</v>
      </c>
      <c r="C232" s="32" t="b">
        <v>0</v>
      </c>
      <c r="D232" s="32" t="s">
        <v>1340</v>
      </c>
      <c r="E232" s="32" t="s">
        <v>890</v>
      </c>
      <c r="F232" s="32" t="s">
        <v>1289</v>
      </c>
      <c r="G232" s="32" t="s">
        <v>911</v>
      </c>
      <c r="H232" s="65" t="s">
        <v>1342</v>
      </c>
      <c r="I232" s="33"/>
      <c r="J232" s="33"/>
      <c r="K232" s="33"/>
      <c r="L232" s="34"/>
      <c r="M232" s="6"/>
      <c r="N232" s="6"/>
      <c r="O232" s="6"/>
      <c r="P232" s="36"/>
      <c r="Q232" s="34"/>
      <c r="R232" s="34"/>
      <c r="S232" s="34"/>
      <c r="T232" s="37"/>
      <c r="U232" s="37"/>
      <c r="V232" s="38">
        <f>DATEDIF(Table1[[#This Row],[Sponsor*]],Table1[[#This Row],[Start Date*]],"d")</f>
        <v>0</v>
      </c>
      <c r="W232" s="62" t="e">
        <f>DATEDIF([1]!Table1[[#This Row],[Start Date*]],[1]!Table1[[#This Row],[End Date*]],"d")</f>
        <v>#VALUE!</v>
      </c>
      <c r="X232" s="39"/>
      <c r="Y232" s="34"/>
      <c r="Z232" s="34"/>
      <c r="AC232" s="34"/>
      <c r="AE232" s="34"/>
      <c r="AF232" s="40"/>
      <c r="AG232" s="34"/>
      <c r="AH232" s="34"/>
      <c r="AI232" s="34"/>
      <c r="AJ232" s="34"/>
      <c r="AK232" s="34">
        <f>SUBTOTAL(9,Table1[[#This Row],[Up Next Priority]:[Campus]])</f>
        <v>0</v>
      </c>
      <c r="AL232" s="52"/>
      <c r="AM232" s="42"/>
      <c r="AN232" s="43"/>
      <c r="AO232" s="44"/>
      <c r="AP232" s="44"/>
      <c r="AQ232" s="44"/>
      <c r="AR232" s="44"/>
      <c r="AS232" s="51"/>
      <c r="AT232" s="44"/>
      <c r="AU232" s="66">
        <f>SUM(Table1[[#This Row],[Org Impact Score]:[Tools]])</f>
        <v>0</v>
      </c>
      <c r="AV232" s="45"/>
      <c r="AW232" s="34"/>
      <c r="AX232" s="34"/>
      <c r="AY232" s="34"/>
    </row>
    <row r="233" spans="1:51">
      <c r="A233" s="31" t="s">
        <v>1338</v>
      </c>
      <c r="B233" s="32" t="s">
        <v>195</v>
      </c>
      <c r="C233" s="32" t="b">
        <v>0</v>
      </c>
      <c r="D233" s="32" t="s">
        <v>1337</v>
      </c>
      <c r="E233" s="32" t="s">
        <v>890</v>
      </c>
      <c r="F233" s="32" t="s">
        <v>1289</v>
      </c>
      <c r="G233" s="32"/>
      <c r="H233" s="65" t="s">
        <v>1339</v>
      </c>
      <c r="I233" s="33"/>
      <c r="J233" s="33"/>
      <c r="K233" s="33"/>
      <c r="L233" s="34"/>
      <c r="M233" s="6"/>
      <c r="N233" s="6"/>
      <c r="O233" s="6"/>
      <c r="P233" s="36"/>
      <c r="Q233" s="34"/>
      <c r="R233" s="34"/>
      <c r="S233" s="34"/>
      <c r="T233" s="37"/>
      <c r="U233" s="37"/>
      <c r="V233" s="38">
        <f>DATEDIF(Table1[[#This Row],[Sponsor*]],Table1[[#This Row],[Start Date*]],"d")</f>
        <v>0</v>
      </c>
      <c r="W233" s="62" t="e">
        <f>DATEDIF([1]!Table1[[#This Row],[Start Date*]],[1]!Table1[[#This Row],[End Date*]],"d")</f>
        <v>#VALUE!</v>
      </c>
      <c r="X233" s="39"/>
      <c r="Y233" s="34"/>
      <c r="Z233" s="34"/>
      <c r="AC233" s="34"/>
      <c r="AE233" s="34"/>
      <c r="AF233" s="40"/>
      <c r="AG233" s="34"/>
      <c r="AH233" s="34"/>
      <c r="AI233" s="34"/>
      <c r="AJ233" s="34"/>
      <c r="AK233" s="34">
        <f>SUBTOTAL(9,Table1[[#This Row],[Up Next Priority]:[Campus]])</f>
        <v>0</v>
      </c>
      <c r="AL233" s="52"/>
      <c r="AM233" s="42"/>
      <c r="AN233" s="43"/>
      <c r="AO233" s="44"/>
      <c r="AP233" s="44"/>
      <c r="AQ233" s="44"/>
      <c r="AR233" s="44"/>
      <c r="AS233" s="51"/>
      <c r="AT233" s="44"/>
      <c r="AU233" s="66">
        <f>SUM(Table1[[#This Row],[Org Impact Score]:[Tools]])</f>
        <v>0</v>
      </c>
      <c r="AV233" s="45"/>
      <c r="AW233" s="34"/>
      <c r="AX233" s="34"/>
      <c r="AY233" s="34"/>
    </row>
    <row r="234" spans="1:51">
      <c r="A234" s="31" t="s">
        <v>1335</v>
      </c>
      <c r="B234" s="32" t="s">
        <v>195</v>
      </c>
      <c r="C234" s="32" t="b">
        <v>0</v>
      </c>
      <c r="D234" s="32" t="s">
        <v>1334</v>
      </c>
      <c r="E234" s="32" t="s">
        <v>890</v>
      </c>
      <c r="F234" s="32" t="s">
        <v>1289</v>
      </c>
      <c r="G234" s="32"/>
      <c r="H234" s="65" t="s">
        <v>1336</v>
      </c>
      <c r="I234" s="33"/>
      <c r="J234" s="33"/>
      <c r="K234" s="33"/>
      <c r="L234" s="34"/>
      <c r="M234" s="6"/>
      <c r="N234" s="6"/>
      <c r="O234" s="6"/>
      <c r="P234" s="36"/>
      <c r="Q234" s="34"/>
      <c r="R234" s="34"/>
      <c r="S234" s="34"/>
      <c r="T234" s="37"/>
      <c r="U234" s="37"/>
      <c r="V234" s="38">
        <f>DATEDIF(Table1[[#This Row],[Sponsor*]],Table1[[#This Row],[Start Date*]],"d")</f>
        <v>0</v>
      </c>
      <c r="W234" s="62" t="e">
        <f>DATEDIF([1]!Table1[[#This Row],[Start Date*]],[1]!Table1[[#This Row],[End Date*]],"d")</f>
        <v>#VALUE!</v>
      </c>
      <c r="X234" s="39"/>
      <c r="Y234" s="34"/>
      <c r="Z234" s="34"/>
      <c r="AC234" s="34"/>
      <c r="AE234" s="34"/>
      <c r="AF234" s="40"/>
      <c r="AG234" s="34"/>
      <c r="AH234" s="34"/>
      <c r="AI234" s="34"/>
      <c r="AJ234" s="34"/>
      <c r="AK234" s="34">
        <f>SUBTOTAL(9,Table1[[#This Row],[Up Next Priority]:[Campus]])</f>
        <v>0</v>
      </c>
      <c r="AL234" s="52"/>
      <c r="AM234" s="42"/>
      <c r="AN234" s="43"/>
      <c r="AO234" s="44"/>
      <c r="AP234" s="44"/>
      <c r="AQ234" s="44"/>
      <c r="AR234" s="44"/>
      <c r="AS234" s="51"/>
      <c r="AT234" s="44"/>
      <c r="AU234" s="66">
        <f>SUM(Table1[[#This Row],[Org Impact Score]:[Tools]])</f>
        <v>0</v>
      </c>
      <c r="AV234" s="45"/>
      <c r="AW234" s="34"/>
      <c r="AX234" s="34"/>
      <c r="AY234" s="34"/>
    </row>
    <row r="235" spans="1:51">
      <c r="A235" s="31" t="s">
        <v>1332</v>
      </c>
      <c r="B235" s="32" t="s">
        <v>195</v>
      </c>
      <c r="C235" s="32" t="b">
        <v>0</v>
      </c>
      <c r="D235" s="32" t="s">
        <v>1331</v>
      </c>
      <c r="E235" s="32" t="s">
        <v>890</v>
      </c>
      <c r="F235" s="32" t="s">
        <v>1289</v>
      </c>
      <c r="G235" s="32"/>
      <c r="H235" s="65" t="s">
        <v>1333</v>
      </c>
      <c r="I235" s="33"/>
      <c r="J235" s="33"/>
      <c r="K235" s="33"/>
      <c r="L235" s="34"/>
      <c r="M235" s="6"/>
      <c r="N235" s="6"/>
      <c r="O235" s="6"/>
      <c r="P235" s="36"/>
      <c r="Q235" s="34"/>
      <c r="R235" s="34"/>
      <c r="S235" s="34"/>
      <c r="T235" s="37"/>
      <c r="U235" s="37"/>
      <c r="V235" s="38">
        <f>DATEDIF(Table1[[#This Row],[Sponsor*]],Table1[[#This Row],[Start Date*]],"d")</f>
        <v>0</v>
      </c>
      <c r="W235" s="62" t="e">
        <f>DATEDIF([1]!Table1[[#This Row],[Start Date*]],[1]!Table1[[#This Row],[End Date*]],"d")</f>
        <v>#VALUE!</v>
      </c>
      <c r="X235" s="39"/>
      <c r="Y235" s="34"/>
      <c r="Z235" s="34"/>
      <c r="AC235" s="34"/>
      <c r="AE235" s="34"/>
      <c r="AF235" s="40"/>
      <c r="AG235" s="34"/>
      <c r="AH235" s="34"/>
      <c r="AI235" s="34"/>
      <c r="AJ235" s="34"/>
      <c r="AK235" s="34">
        <f>SUBTOTAL(9,Table1[[#This Row],[Up Next Priority]:[Campus]])</f>
        <v>0</v>
      </c>
      <c r="AL235" s="52"/>
      <c r="AM235" s="42"/>
      <c r="AN235" s="43"/>
      <c r="AO235" s="44"/>
      <c r="AP235" s="44"/>
      <c r="AQ235" s="44"/>
      <c r="AR235" s="44"/>
      <c r="AS235" s="51"/>
      <c r="AT235" s="44"/>
      <c r="AU235" s="66">
        <f>SUM(Table1[[#This Row],[Org Impact Score]:[Tools]])</f>
        <v>0</v>
      </c>
      <c r="AV235" s="45"/>
      <c r="AW235" s="34"/>
      <c r="AX235" s="34"/>
      <c r="AY235" s="34"/>
    </row>
    <row r="236" spans="1:51">
      <c r="A236" s="31" t="s">
        <v>1329</v>
      </c>
      <c r="B236" s="32" t="s">
        <v>195</v>
      </c>
      <c r="C236" s="32" t="b">
        <v>0</v>
      </c>
      <c r="D236" s="32" t="s">
        <v>1328</v>
      </c>
      <c r="E236" s="32" t="s">
        <v>890</v>
      </c>
      <c r="F236" s="32" t="s">
        <v>1289</v>
      </c>
      <c r="G236" s="32"/>
      <c r="H236" s="65" t="s">
        <v>1330</v>
      </c>
      <c r="I236" s="33"/>
      <c r="J236" s="33"/>
      <c r="K236" s="33"/>
      <c r="L236" s="34"/>
      <c r="M236" s="6"/>
      <c r="N236" s="6"/>
      <c r="O236" s="6"/>
      <c r="P236" s="36"/>
      <c r="Q236" s="34"/>
      <c r="R236" s="34"/>
      <c r="S236" s="34"/>
      <c r="T236" s="37"/>
      <c r="U236" s="37"/>
      <c r="V236" s="38">
        <f>DATEDIF(Table1[[#This Row],[Sponsor*]],Table1[[#This Row],[Start Date*]],"d")</f>
        <v>0</v>
      </c>
      <c r="W236" s="62" t="e">
        <f>DATEDIF([1]!Table1[[#This Row],[Start Date*]],[1]!Table1[[#This Row],[End Date*]],"d")</f>
        <v>#VALUE!</v>
      </c>
      <c r="X236" s="39"/>
      <c r="Y236" s="34"/>
      <c r="Z236" s="34"/>
      <c r="AC236" s="34"/>
      <c r="AE236" s="34"/>
      <c r="AF236" s="40"/>
      <c r="AG236" s="34"/>
      <c r="AH236" s="34"/>
      <c r="AI236" s="34"/>
      <c r="AJ236" s="34"/>
      <c r="AK236" s="34">
        <f>SUBTOTAL(9,Table1[[#This Row],[Up Next Priority]:[Campus]])</f>
        <v>0</v>
      </c>
      <c r="AL236" s="52"/>
      <c r="AM236" s="42"/>
      <c r="AN236" s="43"/>
      <c r="AO236" s="44"/>
      <c r="AP236" s="44"/>
      <c r="AQ236" s="44"/>
      <c r="AR236" s="44"/>
      <c r="AS236" s="51"/>
      <c r="AT236" s="44"/>
      <c r="AU236" s="66">
        <f>SUM(Table1[[#This Row],[Org Impact Score]:[Tools]])</f>
        <v>0</v>
      </c>
      <c r="AV236" s="45"/>
      <c r="AW236" s="34"/>
      <c r="AX236" s="34"/>
      <c r="AY236" s="34"/>
    </row>
    <row r="237" spans="1:51">
      <c r="A237" s="31" t="s">
        <v>1326</v>
      </c>
      <c r="B237" s="32" t="s">
        <v>195</v>
      </c>
      <c r="C237" s="32" t="b">
        <v>0</v>
      </c>
      <c r="D237" s="32" t="s">
        <v>1325</v>
      </c>
      <c r="E237" s="32" t="s">
        <v>890</v>
      </c>
      <c r="F237" s="32" t="s">
        <v>1289</v>
      </c>
      <c r="G237" s="32"/>
      <c r="H237" s="65" t="s">
        <v>1327</v>
      </c>
      <c r="I237" s="33"/>
      <c r="J237" s="33"/>
      <c r="K237" s="33"/>
      <c r="L237" s="34"/>
      <c r="M237" s="6"/>
      <c r="N237" s="6"/>
      <c r="O237" s="6"/>
      <c r="P237" s="36"/>
      <c r="Q237" s="34"/>
      <c r="R237" s="34"/>
      <c r="S237" s="34"/>
      <c r="T237" s="37"/>
      <c r="U237" s="37"/>
      <c r="V237" s="38">
        <f>DATEDIF(Table1[[#This Row],[Sponsor*]],Table1[[#This Row],[Start Date*]],"d")</f>
        <v>0</v>
      </c>
      <c r="W237" s="62" t="e">
        <f>DATEDIF([1]!Table1[[#This Row],[Start Date*]],[1]!Table1[[#This Row],[End Date*]],"d")</f>
        <v>#VALUE!</v>
      </c>
      <c r="X237" s="39"/>
      <c r="Y237" s="34"/>
      <c r="Z237" s="34"/>
      <c r="AC237" s="34"/>
      <c r="AE237" s="34"/>
      <c r="AF237" s="40"/>
      <c r="AG237" s="34"/>
      <c r="AH237" s="34"/>
      <c r="AI237" s="34"/>
      <c r="AJ237" s="34"/>
      <c r="AK237" s="34">
        <f>SUBTOTAL(9,Table1[[#This Row],[Up Next Priority]:[Campus]])</f>
        <v>0</v>
      </c>
      <c r="AL237" s="52"/>
      <c r="AM237" s="42"/>
      <c r="AN237" s="43"/>
      <c r="AO237" s="44"/>
      <c r="AP237" s="44"/>
      <c r="AQ237" s="44"/>
      <c r="AR237" s="44"/>
      <c r="AS237" s="51"/>
      <c r="AT237" s="44"/>
      <c r="AU237" s="66">
        <f>SUM(Table1[[#This Row],[Org Impact Score]:[Tools]])</f>
        <v>0</v>
      </c>
      <c r="AV237" s="45"/>
      <c r="AW237" s="34"/>
      <c r="AX237" s="34"/>
      <c r="AY237" s="34"/>
    </row>
    <row r="238" spans="1:51">
      <c r="A238" s="31" t="s">
        <v>1323</v>
      </c>
      <c r="B238" s="32" t="s">
        <v>195</v>
      </c>
      <c r="C238" s="32" t="b">
        <v>0</v>
      </c>
      <c r="D238" s="32" t="s">
        <v>1322</v>
      </c>
      <c r="E238" s="32" t="s">
        <v>890</v>
      </c>
      <c r="F238" s="32" t="s">
        <v>1289</v>
      </c>
      <c r="G238" s="32" t="s">
        <v>911</v>
      </c>
      <c r="H238" s="65" t="s">
        <v>1324</v>
      </c>
      <c r="I238" s="33"/>
      <c r="J238" s="33"/>
      <c r="K238" s="33"/>
      <c r="L238" s="34"/>
      <c r="M238" s="6"/>
      <c r="N238" s="6"/>
      <c r="O238" s="6"/>
      <c r="P238" s="36"/>
      <c r="Q238" s="34"/>
      <c r="R238" s="34"/>
      <c r="S238" s="34"/>
      <c r="T238" s="37"/>
      <c r="U238" s="37"/>
      <c r="V238" s="38">
        <f>DATEDIF(Table1[[#This Row],[Sponsor*]],Table1[[#This Row],[Start Date*]],"d")</f>
        <v>0</v>
      </c>
      <c r="W238" s="62" t="e">
        <f>DATEDIF([1]!Table1[[#This Row],[Start Date*]],[1]!Table1[[#This Row],[End Date*]],"d")</f>
        <v>#VALUE!</v>
      </c>
      <c r="X238" s="39"/>
      <c r="Y238" s="34"/>
      <c r="Z238" s="34"/>
      <c r="AC238" s="34"/>
      <c r="AE238" s="34"/>
      <c r="AF238" s="40"/>
      <c r="AG238" s="34"/>
      <c r="AH238" s="34"/>
      <c r="AI238" s="34"/>
      <c r="AJ238" s="34"/>
      <c r="AK238" s="34">
        <f>SUBTOTAL(9,Table1[[#This Row],[Up Next Priority]:[Campus]])</f>
        <v>0</v>
      </c>
      <c r="AL238" s="52"/>
      <c r="AM238" s="42"/>
      <c r="AN238" s="43"/>
      <c r="AO238" s="44"/>
      <c r="AP238" s="44"/>
      <c r="AQ238" s="44"/>
      <c r="AR238" s="44"/>
      <c r="AS238" s="51"/>
      <c r="AT238" s="44"/>
      <c r="AU238" s="66">
        <f>SUM(Table1[[#This Row],[Org Impact Score]:[Tools]])</f>
        <v>0</v>
      </c>
      <c r="AV238" s="45"/>
      <c r="AW238" s="34"/>
      <c r="AX238" s="34"/>
      <c r="AY238" s="34"/>
    </row>
    <row r="239" spans="1:51">
      <c r="A239" s="31" t="s">
        <v>1320</v>
      </c>
      <c r="B239" s="32" t="s">
        <v>195</v>
      </c>
      <c r="C239" s="32" t="b">
        <v>0</v>
      </c>
      <c r="D239" s="32" t="s">
        <v>1319</v>
      </c>
      <c r="E239" s="32" t="s">
        <v>890</v>
      </c>
      <c r="F239" s="32" t="s">
        <v>1289</v>
      </c>
      <c r="G239" s="32" t="s">
        <v>911</v>
      </c>
      <c r="H239" s="65" t="s">
        <v>1321</v>
      </c>
      <c r="I239" s="33"/>
      <c r="J239" s="33"/>
      <c r="K239" s="33"/>
      <c r="L239" s="34"/>
      <c r="M239" s="6"/>
      <c r="N239" s="6"/>
      <c r="O239" s="6"/>
      <c r="P239" s="36"/>
      <c r="Q239" s="34"/>
      <c r="R239" s="34"/>
      <c r="S239" s="34"/>
      <c r="T239" s="37"/>
      <c r="U239" s="37"/>
      <c r="V239" s="38">
        <f>DATEDIF(Table1[[#This Row],[Sponsor*]],Table1[[#This Row],[Start Date*]],"d")</f>
        <v>0</v>
      </c>
      <c r="W239" s="62" t="e">
        <f>DATEDIF([1]!Table1[[#This Row],[Start Date*]],[1]!Table1[[#This Row],[End Date*]],"d")</f>
        <v>#VALUE!</v>
      </c>
      <c r="X239" s="39"/>
      <c r="Y239" s="34"/>
      <c r="Z239" s="34"/>
      <c r="AC239" s="34"/>
      <c r="AE239" s="34"/>
      <c r="AF239" s="40"/>
      <c r="AG239" s="34"/>
      <c r="AH239" s="34"/>
      <c r="AI239" s="34"/>
      <c r="AJ239" s="34"/>
      <c r="AK239" s="34">
        <f>SUBTOTAL(9,Table1[[#This Row],[Up Next Priority]:[Campus]])</f>
        <v>0</v>
      </c>
      <c r="AL239" s="52"/>
      <c r="AM239" s="42"/>
      <c r="AN239" s="43"/>
      <c r="AO239" s="44"/>
      <c r="AP239" s="44"/>
      <c r="AQ239" s="44"/>
      <c r="AR239" s="44"/>
      <c r="AS239" s="51"/>
      <c r="AT239" s="44"/>
      <c r="AU239" s="66">
        <f>SUM(Table1[[#This Row],[Org Impact Score]:[Tools]])</f>
        <v>0</v>
      </c>
      <c r="AV239" s="45"/>
      <c r="AW239" s="34"/>
      <c r="AX239" s="34"/>
      <c r="AY239" s="34"/>
    </row>
    <row r="240" spans="1:51">
      <c r="A240" s="31" t="s">
        <v>1317</v>
      </c>
      <c r="B240" s="32" t="s">
        <v>195</v>
      </c>
      <c r="C240" s="32" t="b">
        <v>0</v>
      </c>
      <c r="D240" s="32" t="s">
        <v>1316</v>
      </c>
      <c r="E240" s="32" t="s">
        <v>890</v>
      </c>
      <c r="F240" s="32" t="s">
        <v>1289</v>
      </c>
      <c r="G240" s="32"/>
      <c r="H240" s="65" t="s">
        <v>1318</v>
      </c>
      <c r="I240" s="33"/>
      <c r="J240" s="33"/>
      <c r="K240" s="33"/>
      <c r="L240" s="34"/>
      <c r="M240" s="6"/>
      <c r="N240" s="6"/>
      <c r="O240" s="6"/>
      <c r="P240" s="36"/>
      <c r="Q240" s="34"/>
      <c r="R240" s="34"/>
      <c r="S240" s="34"/>
      <c r="T240" s="37"/>
      <c r="U240" s="37"/>
      <c r="V240" s="38">
        <f>DATEDIF(Table1[[#This Row],[Sponsor*]],Table1[[#This Row],[Start Date*]],"d")</f>
        <v>0</v>
      </c>
      <c r="W240" s="62" t="e">
        <f>DATEDIF([1]!Table1[[#This Row],[Start Date*]],[1]!Table1[[#This Row],[End Date*]],"d")</f>
        <v>#VALUE!</v>
      </c>
      <c r="X240" s="39"/>
      <c r="Y240" s="34"/>
      <c r="Z240" s="34"/>
      <c r="AC240" s="34"/>
      <c r="AE240" s="34"/>
      <c r="AF240" s="40"/>
      <c r="AG240" s="34"/>
      <c r="AH240" s="34"/>
      <c r="AI240" s="34"/>
      <c r="AJ240" s="34"/>
      <c r="AK240" s="34">
        <f>SUBTOTAL(9,Table1[[#This Row],[Up Next Priority]:[Campus]])</f>
        <v>0</v>
      </c>
      <c r="AL240" s="52"/>
      <c r="AM240" s="42"/>
      <c r="AN240" s="43"/>
      <c r="AO240" s="44"/>
      <c r="AP240" s="44"/>
      <c r="AQ240" s="44"/>
      <c r="AR240" s="44"/>
      <c r="AS240" s="51"/>
      <c r="AT240" s="44"/>
      <c r="AU240" s="66">
        <f>SUM(Table1[[#This Row],[Org Impact Score]:[Tools]])</f>
        <v>0</v>
      </c>
      <c r="AV240" s="45"/>
      <c r="AW240" s="34"/>
      <c r="AX240" s="34"/>
      <c r="AY240" s="34"/>
    </row>
    <row r="241" spans="1:51">
      <c r="A241" s="31" t="s">
        <v>1314</v>
      </c>
      <c r="B241" s="32" t="s">
        <v>195</v>
      </c>
      <c r="C241" s="32" t="b">
        <v>1</v>
      </c>
      <c r="D241" s="32" t="s">
        <v>1313</v>
      </c>
      <c r="E241" s="32" t="s">
        <v>890</v>
      </c>
      <c r="F241" s="32" t="s">
        <v>1289</v>
      </c>
      <c r="G241" s="32" t="s">
        <v>911</v>
      </c>
      <c r="H241" s="65" t="s">
        <v>1315</v>
      </c>
      <c r="I241" s="33"/>
      <c r="J241" s="33"/>
      <c r="K241" s="33"/>
      <c r="L241" s="34"/>
      <c r="M241" s="6"/>
      <c r="N241" s="6"/>
      <c r="O241" s="6"/>
      <c r="P241" s="36"/>
      <c r="Q241" s="34"/>
      <c r="R241" s="34"/>
      <c r="S241" s="34"/>
      <c r="T241" s="37"/>
      <c r="U241" s="37"/>
      <c r="V241" s="38">
        <f>DATEDIF(Table1[[#This Row],[Sponsor*]],Table1[[#This Row],[Start Date*]],"d")</f>
        <v>0</v>
      </c>
      <c r="W241" s="62" t="e">
        <f>DATEDIF([1]!Table1[[#This Row],[Start Date*]],[1]!Table1[[#This Row],[End Date*]],"d")</f>
        <v>#VALUE!</v>
      </c>
      <c r="X241" s="39"/>
      <c r="Y241" s="34"/>
      <c r="Z241" s="34"/>
      <c r="AC241" s="34"/>
      <c r="AE241" s="34"/>
      <c r="AF241" s="40"/>
      <c r="AG241" s="34"/>
      <c r="AH241" s="34"/>
      <c r="AI241" s="34"/>
      <c r="AJ241" s="34"/>
      <c r="AK241" s="34">
        <f>SUBTOTAL(9,Table1[[#This Row],[Up Next Priority]:[Campus]])</f>
        <v>0</v>
      </c>
      <c r="AL241" s="52"/>
      <c r="AM241" s="42"/>
      <c r="AN241" s="43"/>
      <c r="AO241" s="44"/>
      <c r="AP241" s="44"/>
      <c r="AQ241" s="44"/>
      <c r="AR241" s="44"/>
      <c r="AS241" s="51"/>
      <c r="AT241" s="44"/>
      <c r="AU241" s="66">
        <f>SUM(Table1[[#This Row],[Org Impact Score]:[Tools]])</f>
        <v>0</v>
      </c>
      <c r="AV241" s="45"/>
      <c r="AW241" s="34"/>
      <c r="AX241" s="34"/>
      <c r="AY241" s="34"/>
    </row>
    <row r="242" spans="1:51">
      <c r="A242" s="31" t="s">
        <v>1311</v>
      </c>
      <c r="B242" s="32" t="s">
        <v>195</v>
      </c>
      <c r="C242" s="32" t="b">
        <v>0</v>
      </c>
      <c r="D242" s="32" t="s">
        <v>1310</v>
      </c>
      <c r="E242" s="32" t="s">
        <v>890</v>
      </c>
      <c r="F242" s="32" t="s">
        <v>1289</v>
      </c>
      <c r="G242" s="32" t="s">
        <v>911</v>
      </c>
      <c r="H242" s="65" t="s">
        <v>1312</v>
      </c>
      <c r="I242" s="33"/>
      <c r="J242" s="33"/>
      <c r="K242" s="33"/>
      <c r="L242" s="34"/>
      <c r="M242" s="6"/>
      <c r="N242" s="6"/>
      <c r="O242" s="6"/>
      <c r="P242" s="36"/>
      <c r="Q242" s="34"/>
      <c r="R242" s="34"/>
      <c r="S242" s="34"/>
      <c r="T242" s="37"/>
      <c r="U242" s="37"/>
      <c r="V242" s="38">
        <f>DATEDIF(Table1[[#This Row],[Sponsor*]],Table1[[#This Row],[Start Date*]],"d")</f>
        <v>0</v>
      </c>
      <c r="W242" s="62" t="e">
        <f>DATEDIF([1]!Table1[[#This Row],[Start Date*]],[1]!Table1[[#This Row],[End Date*]],"d")</f>
        <v>#VALUE!</v>
      </c>
      <c r="X242" s="39"/>
      <c r="Y242" s="34"/>
      <c r="Z242" s="34"/>
      <c r="AC242" s="34"/>
      <c r="AE242" s="34"/>
      <c r="AF242" s="40"/>
      <c r="AG242" s="34"/>
      <c r="AH242" s="34"/>
      <c r="AI242" s="34"/>
      <c r="AJ242" s="34"/>
      <c r="AK242" s="34">
        <f>SUBTOTAL(9,Table1[[#This Row],[Up Next Priority]:[Campus]])</f>
        <v>0</v>
      </c>
      <c r="AL242" s="52"/>
      <c r="AM242" s="42"/>
      <c r="AN242" s="43"/>
      <c r="AO242" s="44"/>
      <c r="AP242" s="44"/>
      <c r="AQ242" s="44"/>
      <c r="AR242" s="44"/>
      <c r="AS242" s="51"/>
      <c r="AT242" s="44"/>
      <c r="AU242" s="66">
        <f>SUM(Table1[[#This Row],[Org Impact Score]:[Tools]])</f>
        <v>0</v>
      </c>
      <c r="AV242" s="45"/>
      <c r="AW242" s="34"/>
      <c r="AX242" s="34"/>
      <c r="AY242" s="34"/>
    </row>
    <row r="243" spans="1:51">
      <c r="A243" s="31" t="s">
        <v>1308</v>
      </c>
      <c r="B243" s="32" t="s">
        <v>195</v>
      </c>
      <c r="C243" s="32" t="b">
        <v>1</v>
      </c>
      <c r="D243" s="32" t="s">
        <v>1307</v>
      </c>
      <c r="E243" s="32" t="s">
        <v>890</v>
      </c>
      <c r="F243" s="32" t="s">
        <v>1289</v>
      </c>
      <c r="G243" s="32"/>
      <c r="H243" s="65" t="s">
        <v>1309</v>
      </c>
      <c r="I243" s="33"/>
      <c r="J243" s="33"/>
      <c r="K243" s="33"/>
      <c r="L243" s="34"/>
      <c r="M243" s="6"/>
      <c r="N243" s="6"/>
      <c r="O243" s="6"/>
      <c r="P243" s="36"/>
      <c r="Q243" s="34"/>
      <c r="R243" s="34"/>
      <c r="S243" s="34"/>
      <c r="T243" s="37"/>
      <c r="U243" s="37"/>
      <c r="V243" s="38">
        <f>DATEDIF(Table1[[#This Row],[Sponsor*]],Table1[[#This Row],[Start Date*]],"d")</f>
        <v>0</v>
      </c>
      <c r="W243" s="62" t="e">
        <f>DATEDIF([1]!Table1[[#This Row],[Start Date*]],[1]!Table1[[#This Row],[End Date*]],"d")</f>
        <v>#VALUE!</v>
      </c>
      <c r="X243" s="39"/>
      <c r="Y243" s="34"/>
      <c r="Z243" s="34"/>
      <c r="AC243" s="34"/>
      <c r="AE243" s="34"/>
      <c r="AF243" s="40"/>
      <c r="AG243" s="34"/>
      <c r="AH243" s="34"/>
      <c r="AI243" s="34"/>
      <c r="AJ243" s="34"/>
      <c r="AK243" s="34">
        <f>SUBTOTAL(9,Table1[[#This Row],[Up Next Priority]:[Campus]])</f>
        <v>0</v>
      </c>
      <c r="AL243" s="52"/>
      <c r="AM243" s="42"/>
      <c r="AN243" s="43"/>
      <c r="AO243" s="44"/>
      <c r="AP243" s="44"/>
      <c r="AQ243" s="44"/>
      <c r="AR243" s="44"/>
      <c r="AS243" s="51"/>
      <c r="AT243" s="44"/>
      <c r="AU243" s="66">
        <f>SUM(Table1[[#This Row],[Org Impact Score]:[Tools]])</f>
        <v>0</v>
      </c>
      <c r="AV243" s="45"/>
      <c r="AW243" s="34"/>
      <c r="AX243" s="34"/>
      <c r="AY243" s="34"/>
    </row>
    <row r="244" spans="1:51">
      <c r="A244" s="31" t="s">
        <v>1305</v>
      </c>
      <c r="B244" s="32" t="s">
        <v>195</v>
      </c>
      <c r="C244" s="32" t="b">
        <v>0</v>
      </c>
      <c r="D244" s="32" t="s">
        <v>1304</v>
      </c>
      <c r="E244" s="32" t="s">
        <v>890</v>
      </c>
      <c r="F244" s="32" t="s">
        <v>1289</v>
      </c>
      <c r="G244" s="32"/>
      <c r="H244" s="65" t="s">
        <v>1306</v>
      </c>
      <c r="I244" s="33"/>
      <c r="J244" s="33"/>
      <c r="K244" s="33"/>
      <c r="L244" s="34"/>
      <c r="M244" s="6"/>
      <c r="N244" s="6"/>
      <c r="O244" s="6"/>
      <c r="P244" s="36"/>
      <c r="Q244" s="34"/>
      <c r="R244" s="34"/>
      <c r="S244" s="34"/>
      <c r="T244" s="37"/>
      <c r="U244" s="37"/>
      <c r="V244" s="38">
        <f>DATEDIF(Table1[[#This Row],[Sponsor*]],Table1[[#This Row],[Start Date*]],"d")</f>
        <v>0</v>
      </c>
      <c r="W244" s="62" t="e">
        <f>DATEDIF([1]!Table1[[#This Row],[Start Date*]],[1]!Table1[[#This Row],[End Date*]],"d")</f>
        <v>#VALUE!</v>
      </c>
      <c r="X244" s="39"/>
      <c r="Y244" s="34"/>
      <c r="Z244" s="34"/>
      <c r="AC244" s="34"/>
      <c r="AE244" s="34"/>
      <c r="AF244" s="40"/>
      <c r="AG244" s="34"/>
      <c r="AH244" s="34"/>
      <c r="AI244" s="34"/>
      <c r="AJ244" s="34"/>
      <c r="AK244" s="34">
        <f>SUBTOTAL(9,Table1[[#This Row],[Up Next Priority]:[Campus]])</f>
        <v>0</v>
      </c>
      <c r="AL244" s="52"/>
      <c r="AM244" s="42"/>
      <c r="AN244" s="43"/>
      <c r="AO244" s="44"/>
      <c r="AP244" s="44"/>
      <c r="AQ244" s="44"/>
      <c r="AR244" s="44"/>
      <c r="AS244" s="51"/>
      <c r="AT244" s="44"/>
      <c r="AU244" s="66">
        <f>SUM(Table1[[#This Row],[Org Impact Score]:[Tools]])</f>
        <v>0</v>
      </c>
      <c r="AV244" s="45"/>
      <c r="AW244" s="34"/>
      <c r="AX244" s="34"/>
      <c r="AY244" s="34"/>
    </row>
    <row r="245" spans="1:51">
      <c r="A245" s="31" t="s">
        <v>1302</v>
      </c>
      <c r="B245" s="32" t="s">
        <v>195</v>
      </c>
      <c r="C245" s="32" t="b">
        <v>0</v>
      </c>
      <c r="D245" s="32" t="s">
        <v>1301</v>
      </c>
      <c r="E245" s="32" t="s">
        <v>890</v>
      </c>
      <c r="F245" s="32" t="s">
        <v>1289</v>
      </c>
      <c r="G245" s="32"/>
      <c r="H245" s="65" t="s">
        <v>1303</v>
      </c>
      <c r="I245" s="33"/>
      <c r="J245" s="33"/>
      <c r="K245" s="33"/>
      <c r="L245" s="34"/>
      <c r="M245" s="6"/>
      <c r="N245" s="6"/>
      <c r="O245" s="6"/>
      <c r="P245" s="36"/>
      <c r="Q245" s="34"/>
      <c r="R245" s="34"/>
      <c r="S245" s="34"/>
      <c r="T245" s="37"/>
      <c r="U245" s="37"/>
      <c r="V245" s="38">
        <f>DATEDIF(Table1[[#This Row],[Sponsor*]],Table1[[#This Row],[Start Date*]],"d")</f>
        <v>0</v>
      </c>
      <c r="W245" s="62" t="e">
        <f>DATEDIF([1]!Table1[[#This Row],[Start Date*]],[1]!Table1[[#This Row],[End Date*]],"d")</f>
        <v>#VALUE!</v>
      </c>
      <c r="X245" s="39"/>
      <c r="Y245" s="34"/>
      <c r="Z245" s="34"/>
      <c r="AC245" s="34"/>
      <c r="AE245" s="34"/>
      <c r="AF245" s="40"/>
      <c r="AG245" s="34"/>
      <c r="AH245" s="34"/>
      <c r="AI245" s="34"/>
      <c r="AJ245" s="34"/>
      <c r="AK245" s="34">
        <f>SUBTOTAL(9,Table1[[#This Row],[Up Next Priority]:[Campus]])</f>
        <v>0</v>
      </c>
      <c r="AL245" s="52"/>
      <c r="AM245" s="42"/>
      <c r="AN245" s="43"/>
      <c r="AO245" s="44"/>
      <c r="AP245" s="44"/>
      <c r="AQ245" s="44"/>
      <c r="AR245" s="44"/>
      <c r="AS245" s="51"/>
      <c r="AT245" s="44"/>
      <c r="AU245" s="66">
        <f>SUM(Table1[[#This Row],[Org Impact Score]:[Tools]])</f>
        <v>0</v>
      </c>
      <c r="AV245" s="45"/>
      <c r="AW245" s="34"/>
      <c r="AX245" s="34"/>
      <c r="AY245" s="34"/>
    </row>
    <row r="246" spans="1:51">
      <c r="A246" s="31" t="s">
        <v>1299</v>
      </c>
      <c r="B246" s="32" t="s">
        <v>195</v>
      </c>
      <c r="C246" s="32" t="b">
        <v>0</v>
      </c>
      <c r="D246" s="32" t="s">
        <v>1298</v>
      </c>
      <c r="E246" s="32" t="s">
        <v>890</v>
      </c>
      <c r="F246" s="32" t="s">
        <v>1289</v>
      </c>
      <c r="G246" s="32"/>
      <c r="H246" s="65" t="s">
        <v>1300</v>
      </c>
      <c r="I246" s="33"/>
      <c r="J246" s="33"/>
      <c r="K246" s="33"/>
      <c r="L246" s="34"/>
      <c r="M246" s="6"/>
      <c r="N246" s="6"/>
      <c r="O246" s="6"/>
      <c r="P246" s="36"/>
      <c r="Q246" s="34"/>
      <c r="R246" s="34"/>
      <c r="S246" s="34"/>
      <c r="T246" s="37"/>
      <c r="U246" s="37"/>
      <c r="V246" s="38">
        <f>DATEDIF(Table1[[#This Row],[Sponsor*]],Table1[[#This Row],[Start Date*]],"d")</f>
        <v>0</v>
      </c>
      <c r="W246" s="62" t="e">
        <f>DATEDIF([1]!Table1[[#This Row],[Start Date*]],[1]!Table1[[#This Row],[End Date*]],"d")</f>
        <v>#VALUE!</v>
      </c>
      <c r="X246" s="39"/>
      <c r="Y246" s="34"/>
      <c r="Z246" s="34"/>
      <c r="AC246" s="34"/>
      <c r="AE246" s="34"/>
      <c r="AF246" s="40"/>
      <c r="AG246" s="34"/>
      <c r="AH246" s="34"/>
      <c r="AI246" s="34"/>
      <c r="AJ246" s="34"/>
      <c r="AK246" s="34">
        <f>SUBTOTAL(9,Table1[[#This Row],[Up Next Priority]:[Campus]])</f>
        <v>0</v>
      </c>
      <c r="AL246" s="52"/>
      <c r="AM246" s="42"/>
      <c r="AN246" s="43"/>
      <c r="AO246" s="44"/>
      <c r="AP246" s="44"/>
      <c r="AQ246" s="44"/>
      <c r="AR246" s="44"/>
      <c r="AS246" s="51"/>
      <c r="AT246" s="44"/>
      <c r="AU246" s="66">
        <f>SUM(Table1[[#This Row],[Org Impact Score]:[Tools]])</f>
        <v>0</v>
      </c>
      <c r="AV246" s="45"/>
      <c r="AW246" s="34"/>
      <c r="AX246" s="34"/>
      <c r="AY246" s="34"/>
    </row>
    <row r="247" spans="1:51">
      <c r="A247" s="31" t="s">
        <v>1296</v>
      </c>
      <c r="B247" s="32" t="s">
        <v>195</v>
      </c>
      <c r="C247" s="32" t="b">
        <v>0</v>
      </c>
      <c r="D247" s="32" t="s">
        <v>1295</v>
      </c>
      <c r="E247" s="32" t="s">
        <v>890</v>
      </c>
      <c r="F247" s="32" t="s">
        <v>1289</v>
      </c>
      <c r="G247" s="32"/>
      <c r="H247" s="65" t="s">
        <v>1297</v>
      </c>
      <c r="I247" s="33"/>
      <c r="J247" s="33"/>
      <c r="K247" s="33"/>
      <c r="L247" s="34"/>
      <c r="M247" s="6"/>
      <c r="N247" s="6"/>
      <c r="O247" s="6"/>
      <c r="P247" s="36"/>
      <c r="Q247" s="34"/>
      <c r="R247" s="34"/>
      <c r="S247" s="34"/>
      <c r="T247" s="37"/>
      <c r="U247" s="37"/>
      <c r="V247" s="38">
        <f>DATEDIF(Table1[[#This Row],[Sponsor*]],Table1[[#This Row],[Start Date*]],"d")</f>
        <v>0</v>
      </c>
      <c r="W247" s="62" t="e">
        <f>DATEDIF([1]!Table1[[#This Row],[Start Date*]],[1]!Table1[[#This Row],[End Date*]],"d")</f>
        <v>#VALUE!</v>
      </c>
      <c r="X247" s="39"/>
      <c r="Y247" s="34"/>
      <c r="Z247" s="34"/>
      <c r="AC247" s="34"/>
      <c r="AE247" s="34"/>
      <c r="AF247" s="40"/>
      <c r="AG247" s="34"/>
      <c r="AH247" s="34"/>
      <c r="AI247" s="34"/>
      <c r="AJ247" s="34"/>
      <c r="AK247" s="34">
        <f>SUBTOTAL(9,Table1[[#This Row],[Up Next Priority]:[Campus]])</f>
        <v>0</v>
      </c>
      <c r="AL247" s="52"/>
      <c r="AM247" s="42"/>
      <c r="AN247" s="43"/>
      <c r="AO247" s="44"/>
      <c r="AP247" s="44"/>
      <c r="AQ247" s="44"/>
      <c r="AR247" s="44"/>
      <c r="AS247" s="51"/>
      <c r="AT247" s="44"/>
      <c r="AU247" s="66">
        <f>SUM(Table1[[#This Row],[Org Impact Score]:[Tools]])</f>
        <v>0</v>
      </c>
      <c r="AV247" s="45"/>
      <c r="AW247" s="34"/>
      <c r="AX247" s="34"/>
      <c r="AY247" s="34"/>
    </row>
    <row r="248" spans="1:51">
      <c r="A248" s="31" t="s">
        <v>1293</v>
      </c>
      <c r="B248" s="32" t="s">
        <v>195</v>
      </c>
      <c r="C248" s="32" t="b">
        <v>0</v>
      </c>
      <c r="D248" s="32" t="s">
        <v>1292</v>
      </c>
      <c r="E248" s="32" t="s">
        <v>890</v>
      </c>
      <c r="F248" s="32" t="s">
        <v>1289</v>
      </c>
      <c r="G248" s="32"/>
      <c r="H248" s="65" t="s">
        <v>1294</v>
      </c>
      <c r="I248" s="33"/>
      <c r="J248" s="33"/>
      <c r="K248" s="33"/>
      <c r="L248" s="34"/>
      <c r="M248" s="6"/>
      <c r="N248" s="6"/>
      <c r="O248" s="6"/>
      <c r="P248" s="36"/>
      <c r="Q248" s="34"/>
      <c r="R248" s="34"/>
      <c r="S248" s="34"/>
      <c r="T248" s="37"/>
      <c r="U248" s="37"/>
      <c r="V248" s="38">
        <f>DATEDIF(Table1[[#This Row],[Sponsor*]],Table1[[#This Row],[Start Date*]],"d")</f>
        <v>0</v>
      </c>
      <c r="W248" s="62" t="e">
        <f>DATEDIF([1]!Table1[[#This Row],[Start Date*]],[1]!Table1[[#This Row],[End Date*]],"d")</f>
        <v>#VALUE!</v>
      </c>
      <c r="X248" s="39"/>
      <c r="Y248" s="34"/>
      <c r="Z248" s="34"/>
      <c r="AC248" s="34"/>
      <c r="AE248" s="34"/>
      <c r="AF248" s="40"/>
      <c r="AG248" s="34"/>
      <c r="AH248" s="34"/>
      <c r="AI248" s="34"/>
      <c r="AJ248" s="34"/>
      <c r="AK248" s="34">
        <f>SUBTOTAL(9,Table1[[#This Row],[Up Next Priority]:[Campus]])</f>
        <v>0</v>
      </c>
      <c r="AL248" s="52"/>
      <c r="AM248" s="42"/>
      <c r="AN248" s="43"/>
      <c r="AO248" s="44"/>
      <c r="AP248" s="44"/>
      <c r="AQ248" s="44"/>
      <c r="AR248" s="44"/>
      <c r="AS248" s="51"/>
      <c r="AT248" s="44"/>
      <c r="AU248" s="66">
        <f>SUM(Table1[[#This Row],[Org Impact Score]:[Tools]])</f>
        <v>0</v>
      </c>
      <c r="AV248" s="45"/>
      <c r="AW248" s="34"/>
      <c r="AX248" s="34"/>
      <c r="AY248" s="34"/>
    </row>
    <row r="249" spans="1:51">
      <c r="A249" s="31" t="s">
        <v>1290</v>
      </c>
      <c r="B249" s="32" t="s">
        <v>195</v>
      </c>
      <c r="C249" s="32" t="b">
        <v>1</v>
      </c>
      <c r="D249" s="32" t="s">
        <v>1288</v>
      </c>
      <c r="E249" s="32" t="s">
        <v>890</v>
      </c>
      <c r="F249" s="32" t="s">
        <v>1289</v>
      </c>
      <c r="G249" s="32"/>
      <c r="H249" s="65" t="s">
        <v>1291</v>
      </c>
      <c r="I249" s="33"/>
      <c r="J249" s="33"/>
      <c r="K249" s="33"/>
      <c r="L249" s="34"/>
      <c r="M249" s="6"/>
      <c r="N249" s="6"/>
      <c r="O249" s="6"/>
      <c r="P249" s="36"/>
      <c r="Q249" s="34"/>
      <c r="R249" s="34"/>
      <c r="S249" s="34"/>
      <c r="T249" s="37"/>
      <c r="U249" s="37"/>
      <c r="V249" s="38">
        <f>DATEDIF(Table1[[#This Row],[Sponsor*]],Table1[[#This Row],[Start Date*]],"d")</f>
        <v>0</v>
      </c>
      <c r="W249" s="62" t="e">
        <f>DATEDIF([1]!Table1[[#This Row],[Start Date*]],[1]!Table1[[#This Row],[End Date*]],"d")</f>
        <v>#VALUE!</v>
      </c>
      <c r="X249" s="39"/>
      <c r="Y249" s="34"/>
      <c r="Z249" s="34"/>
      <c r="AC249" s="34"/>
      <c r="AE249" s="34"/>
      <c r="AF249" s="40"/>
      <c r="AG249" s="34"/>
      <c r="AH249" s="34"/>
      <c r="AI249" s="34"/>
      <c r="AJ249" s="34"/>
      <c r="AK249" s="34">
        <f>SUBTOTAL(9,Table1[[#This Row],[Up Next Priority]:[Campus]])</f>
        <v>0</v>
      </c>
      <c r="AL249" s="52"/>
      <c r="AM249" s="42"/>
      <c r="AN249" s="43"/>
      <c r="AO249" s="44"/>
      <c r="AP249" s="44"/>
      <c r="AQ249" s="44"/>
      <c r="AR249" s="44"/>
      <c r="AS249" s="51"/>
      <c r="AT249" s="44"/>
      <c r="AU249" s="66">
        <f>SUM(Table1[[#This Row],[Org Impact Score]:[Tools]])</f>
        <v>0</v>
      </c>
      <c r="AV249" s="45"/>
      <c r="AW249" s="34"/>
      <c r="AX249" s="34"/>
      <c r="AY249" s="34"/>
    </row>
    <row r="250" spans="1:51">
      <c r="A250" s="31" t="s">
        <v>537</v>
      </c>
      <c r="B250" s="32" t="s">
        <v>195</v>
      </c>
      <c r="C250" s="32" t="b">
        <v>0</v>
      </c>
      <c r="D250" s="32" t="s">
        <v>536</v>
      </c>
      <c r="E250" s="32" t="s">
        <v>890</v>
      </c>
      <c r="F250" s="32" t="s">
        <v>896</v>
      </c>
      <c r="G250" s="32" t="s">
        <v>914</v>
      </c>
      <c r="H250" s="65" t="s">
        <v>538</v>
      </c>
      <c r="I250" s="33"/>
      <c r="J250" s="33"/>
      <c r="K250" s="33"/>
      <c r="L250" s="34"/>
      <c r="M250" s="6"/>
      <c r="N250" s="6"/>
      <c r="O250" s="6"/>
      <c r="P250" s="36"/>
      <c r="Q250" s="34"/>
      <c r="R250" s="34"/>
      <c r="S250" s="34"/>
      <c r="T250" s="37"/>
      <c r="U250" s="37"/>
      <c r="V250" s="38">
        <f>DATEDIF(Table1[[#This Row],[Sponsor*]],Table1[[#This Row],[Start Date*]],"d")</f>
        <v>0</v>
      </c>
      <c r="W250" s="62" t="e">
        <f>DATEDIF([1]!Table1[[#This Row],[Start Date*]],[1]!Table1[[#This Row],[End Date*]],"d")</f>
        <v>#VALUE!</v>
      </c>
      <c r="X250" s="39"/>
      <c r="Y250" s="34"/>
      <c r="Z250" s="34"/>
      <c r="AC250" s="34"/>
      <c r="AE250" s="34"/>
      <c r="AF250" s="40"/>
      <c r="AG250" s="34"/>
      <c r="AH250" s="34"/>
      <c r="AI250" s="34"/>
      <c r="AJ250" s="34"/>
      <c r="AK250" s="34">
        <f>SUBTOTAL(9,Table1[[#This Row],[Up Next Priority]:[Campus]])</f>
        <v>0</v>
      </c>
      <c r="AL250" s="52"/>
      <c r="AM250" s="42"/>
      <c r="AN250" s="43"/>
      <c r="AO250" s="44"/>
      <c r="AP250" s="44"/>
      <c r="AQ250" s="44"/>
      <c r="AR250" s="44"/>
      <c r="AS250" s="51"/>
      <c r="AT250" s="44"/>
      <c r="AU250" s="66">
        <f>SUM(Table1[[#This Row],[Org Impact Score]:[Tools]])</f>
        <v>0</v>
      </c>
      <c r="AV250" s="45"/>
      <c r="AW250" s="34"/>
      <c r="AX250" s="34"/>
      <c r="AY250" s="34"/>
    </row>
    <row r="251" spans="1:51">
      <c r="A251" s="31" t="s">
        <v>534</v>
      </c>
      <c r="B251" s="32" t="s">
        <v>195</v>
      </c>
      <c r="C251" s="32" t="b">
        <v>0</v>
      </c>
      <c r="D251" s="32" t="s">
        <v>533</v>
      </c>
      <c r="E251" s="32" t="s">
        <v>890</v>
      </c>
      <c r="F251" s="32" t="s">
        <v>896</v>
      </c>
      <c r="G251" s="32" t="s">
        <v>914</v>
      </c>
      <c r="H251" s="65" t="s">
        <v>535</v>
      </c>
      <c r="I251" s="33"/>
      <c r="J251" s="33"/>
      <c r="K251" s="33"/>
      <c r="L251" s="34"/>
      <c r="M251" s="6"/>
      <c r="N251" s="6"/>
      <c r="O251" s="6"/>
      <c r="P251" s="36"/>
      <c r="Q251" s="34"/>
      <c r="R251" s="34"/>
      <c r="S251" s="34"/>
      <c r="T251" s="37"/>
      <c r="U251" s="37"/>
      <c r="V251" s="38">
        <f>DATEDIF(Table1[[#This Row],[Sponsor*]],Table1[[#This Row],[Start Date*]],"d")</f>
        <v>0</v>
      </c>
      <c r="W251" s="62" t="e">
        <f>DATEDIF([1]!Table1[[#This Row],[Start Date*]],[1]!Table1[[#This Row],[End Date*]],"d")</f>
        <v>#VALUE!</v>
      </c>
      <c r="X251" s="39"/>
      <c r="Y251" s="34"/>
      <c r="Z251" s="34"/>
      <c r="AC251" s="34"/>
      <c r="AE251" s="34"/>
      <c r="AF251" s="40"/>
      <c r="AG251" s="34"/>
      <c r="AH251" s="34"/>
      <c r="AI251" s="34"/>
      <c r="AJ251" s="34"/>
      <c r="AK251" s="34">
        <f>SUBTOTAL(9,Table1[[#This Row],[Up Next Priority]:[Campus]])</f>
        <v>0</v>
      </c>
      <c r="AL251" s="52"/>
      <c r="AM251" s="42"/>
      <c r="AN251" s="43"/>
      <c r="AO251" s="44"/>
      <c r="AP251" s="44"/>
      <c r="AQ251" s="44"/>
      <c r="AR251" s="44"/>
      <c r="AS251" s="51"/>
      <c r="AT251" s="44"/>
      <c r="AU251" s="66">
        <f>SUM(Table1[[#This Row],[Org Impact Score]:[Tools]])</f>
        <v>0</v>
      </c>
      <c r="AV251" s="45"/>
      <c r="AW251" s="34"/>
      <c r="AX251" s="34"/>
      <c r="AY251" s="34"/>
    </row>
    <row r="252" spans="1:51">
      <c r="A252" s="31" t="s">
        <v>531</v>
      </c>
      <c r="B252" s="32" t="s">
        <v>195</v>
      </c>
      <c r="C252" s="32" t="b">
        <v>0</v>
      </c>
      <c r="D252" s="32" t="s">
        <v>530</v>
      </c>
      <c r="E252" s="32" t="s">
        <v>890</v>
      </c>
      <c r="F252" s="32" t="s">
        <v>896</v>
      </c>
      <c r="G252" s="32"/>
      <c r="H252" s="65" t="s">
        <v>532</v>
      </c>
      <c r="I252" s="33"/>
      <c r="J252" s="33"/>
      <c r="K252" s="33"/>
      <c r="L252" s="34"/>
      <c r="M252" s="6"/>
      <c r="N252" s="6"/>
      <c r="O252" s="6"/>
      <c r="P252" s="36"/>
      <c r="Q252" s="34"/>
      <c r="R252" s="34"/>
      <c r="S252" s="34"/>
      <c r="T252" s="37"/>
      <c r="U252" s="37"/>
      <c r="V252" s="38">
        <f>DATEDIF(Table1[[#This Row],[Sponsor*]],Table1[[#This Row],[Start Date*]],"d")</f>
        <v>0</v>
      </c>
      <c r="W252" s="62" t="e">
        <f>DATEDIF([1]!Table1[[#This Row],[Start Date*]],[1]!Table1[[#This Row],[End Date*]],"d")</f>
        <v>#VALUE!</v>
      </c>
      <c r="X252" s="39"/>
      <c r="Y252" s="34"/>
      <c r="Z252" s="34"/>
      <c r="AC252" s="34"/>
      <c r="AE252" s="34"/>
      <c r="AF252" s="40"/>
      <c r="AG252" s="34"/>
      <c r="AH252" s="34"/>
      <c r="AI252" s="34"/>
      <c r="AJ252" s="34"/>
      <c r="AK252" s="34">
        <f>SUBTOTAL(9,Table1[[#This Row],[Up Next Priority]:[Campus]])</f>
        <v>0</v>
      </c>
      <c r="AL252" s="52"/>
      <c r="AM252" s="42"/>
      <c r="AN252" s="43"/>
      <c r="AO252" s="44"/>
      <c r="AP252" s="44"/>
      <c r="AQ252" s="44"/>
      <c r="AR252" s="44"/>
      <c r="AS252" s="51"/>
      <c r="AT252" s="44"/>
      <c r="AU252" s="66">
        <f>SUM(Table1[[#This Row],[Org Impact Score]:[Tools]])</f>
        <v>0</v>
      </c>
      <c r="AV252" s="45"/>
      <c r="AW252" s="34"/>
      <c r="AX252" s="34"/>
      <c r="AY252" s="34"/>
    </row>
    <row r="253" spans="1:51">
      <c r="A253" s="31" t="s">
        <v>528</v>
      </c>
      <c r="B253" s="32" t="s">
        <v>195</v>
      </c>
      <c r="C253" s="32" t="b">
        <v>0</v>
      </c>
      <c r="D253" s="32" t="s">
        <v>527</v>
      </c>
      <c r="E253" s="32" t="s">
        <v>890</v>
      </c>
      <c r="F253" s="32" t="s">
        <v>896</v>
      </c>
      <c r="G253" s="32" t="s">
        <v>81</v>
      </c>
      <c r="H253" s="65" t="s">
        <v>529</v>
      </c>
      <c r="I253" s="33"/>
      <c r="J253" s="33"/>
      <c r="K253" s="33"/>
      <c r="L253" s="34"/>
      <c r="M253" s="6"/>
      <c r="N253" s="6"/>
      <c r="O253" s="6"/>
      <c r="P253" s="36"/>
      <c r="Q253" s="34"/>
      <c r="R253" s="34"/>
      <c r="S253" s="34"/>
      <c r="T253" s="37"/>
      <c r="U253" s="37"/>
      <c r="V253" s="38">
        <f>DATEDIF(Table1[[#This Row],[Sponsor*]],Table1[[#This Row],[Start Date*]],"d")</f>
        <v>0</v>
      </c>
      <c r="W253" s="62" t="e">
        <f>DATEDIF([1]!Table1[[#This Row],[Start Date*]],[1]!Table1[[#This Row],[End Date*]],"d")</f>
        <v>#VALUE!</v>
      </c>
      <c r="X253" s="39"/>
      <c r="Y253" s="34"/>
      <c r="Z253" s="34"/>
      <c r="AC253" s="34"/>
      <c r="AE253" s="34"/>
      <c r="AF253" s="40"/>
      <c r="AG253" s="34"/>
      <c r="AH253" s="34"/>
      <c r="AI253" s="34"/>
      <c r="AJ253" s="34"/>
      <c r="AK253" s="34">
        <f>SUBTOTAL(9,Table1[[#This Row],[Up Next Priority]:[Campus]])</f>
        <v>0</v>
      </c>
      <c r="AL253" s="52"/>
      <c r="AM253" s="42"/>
      <c r="AN253" s="43"/>
      <c r="AO253" s="44"/>
      <c r="AP253" s="44"/>
      <c r="AQ253" s="44"/>
      <c r="AR253" s="44"/>
      <c r="AS253" s="51"/>
      <c r="AT253" s="44"/>
      <c r="AU253" s="66">
        <f>SUM(Table1[[#This Row],[Org Impact Score]:[Tools]])</f>
        <v>0</v>
      </c>
      <c r="AV253" s="45"/>
      <c r="AW253" s="34"/>
      <c r="AX253" s="34"/>
      <c r="AY253" s="34"/>
    </row>
    <row r="254" spans="1:51">
      <c r="A254" s="31" t="s">
        <v>525</v>
      </c>
      <c r="B254" s="32" t="s">
        <v>195</v>
      </c>
      <c r="C254" s="32" t="b">
        <v>0</v>
      </c>
      <c r="D254" s="32" t="s">
        <v>524</v>
      </c>
      <c r="E254" s="32" t="s">
        <v>890</v>
      </c>
      <c r="F254" s="32" t="s">
        <v>896</v>
      </c>
      <c r="G254" s="32" t="s">
        <v>915</v>
      </c>
      <c r="H254" s="65" t="s">
        <v>526</v>
      </c>
      <c r="I254" s="33"/>
      <c r="J254" s="33"/>
      <c r="K254" s="33"/>
      <c r="L254" s="34"/>
      <c r="M254" s="6"/>
      <c r="N254" s="6"/>
      <c r="O254" s="6"/>
      <c r="P254" s="36"/>
      <c r="Q254" s="34"/>
      <c r="R254" s="34"/>
      <c r="S254" s="34"/>
      <c r="T254" s="37"/>
      <c r="U254" s="37"/>
      <c r="V254" s="38">
        <f>DATEDIF(Table1[[#This Row],[Sponsor*]],Table1[[#This Row],[Start Date*]],"d")</f>
        <v>0</v>
      </c>
      <c r="W254" s="62" t="e">
        <f>DATEDIF([1]!Table1[[#This Row],[Start Date*]],[1]!Table1[[#This Row],[End Date*]],"d")</f>
        <v>#VALUE!</v>
      </c>
      <c r="X254" s="39"/>
      <c r="Y254" s="34"/>
      <c r="Z254" s="34"/>
      <c r="AC254" s="34"/>
      <c r="AE254" s="34"/>
      <c r="AF254" s="40"/>
      <c r="AG254" s="34"/>
      <c r="AH254" s="34"/>
      <c r="AI254" s="34"/>
      <c r="AJ254" s="34"/>
      <c r="AK254" s="34">
        <f>SUBTOTAL(9,Table1[[#This Row],[Up Next Priority]:[Campus]])</f>
        <v>0</v>
      </c>
      <c r="AL254" s="52"/>
      <c r="AM254" s="42"/>
      <c r="AN254" s="43"/>
      <c r="AO254" s="44"/>
      <c r="AP254" s="44"/>
      <c r="AQ254" s="44"/>
      <c r="AR254" s="44"/>
      <c r="AS254" s="51"/>
      <c r="AT254" s="44"/>
      <c r="AU254" s="66">
        <f>SUM(Table1[[#This Row],[Org Impact Score]:[Tools]])</f>
        <v>0</v>
      </c>
      <c r="AV254" s="45"/>
      <c r="AW254" s="34"/>
      <c r="AX254" s="34"/>
      <c r="AY254" s="34"/>
    </row>
    <row r="255" spans="1:51">
      <c r="A255" s="31" t="s">
        <v>522</v>
      </c>
      <c r="B255" s="32" t="s">
        <v>195</v>
      </c>
      <c r="C255" s="32" t="b">
        <v>0</v>
      </c>
      <c r="D255" s="32" t="s">
        <v>521</v>
      </c>
      <c r="E255" s="32" t="s">
        <v>890</v>
      </c>
      <c r="F255" s="32" t="s">
        <v>896</v>
      </c>
      <c r="G255" s="32" t="s">
        <v>76</v>
      </c>
      <c r="H255" s="65" t="s">
        <v>523</v>
      </c>
      <c r="I255" s="33"/>
      <c r="J255" s="33"/>
      <c r="K255" s="33"/>
      <c r="L255" s="34"/>
      <c r="M255" s="6"/>
      <c r="N255" s="6"/>
      <c r="O255" s="6"/>
      <c r="P255" s="36"/>
      <c r="Q255" s="34"/>
      <c r="R255" s="34"/>
      <c r="S255" s="34"/>
      <c r="T255" s="37"/>
      <c r="U255" s="37"/>
      <c r="V255" s="38">
        <f>DATEDIF(Table1[[#This Row],[Sponsor*]],Table1[[#This Row],[Start Date*]],"d")</f>
        <v>0</v>
      </c>
      <c r="W255" s="62" t="e">
        <f>DATEDIF([1]!Table1[[#This Row],[Start Date*]],[1]!Table1[[#This Row],[End Date*]],"d")</f>
        <v>#VALUE!</v>
      </c>
      <c r="X255" s="39"/>
      <c r="Y255" s="34"/>
      <c r="Z255" s="34"/>
      <c r="AC255" s="34"/>
      <c r="AE255" s="34"/>
      <c r="AF255" s="40"/>
      <c r="AG255" s="34"/>
      <c r="AH255" s="34"/>
      <c r="AI255" s="34"/>
      <c r="AJ255" s="34"/>
      <c r="AK255" s="34">
        <f>SUBTOTAL(9,Table1[[#This Row],[Up Next Priority]:[Campus]])</f>
        <v>0</v>
      </c>
      <c r="AL255" s="52"/>
      <c r="AM255" s="42"/>
      <c r="AN255" s="43"/>
      <c r="AO255" s="44"/>
      <c r="AP255" s="44"/>
      <c r="AQ255" s="44"/>
      <c r="AR255" s="44"/>
      <c r="AS255" s="51"/>
      <c r="AT255" s="44"/>
      <c r="AU255" s="66">
        <f>SUM(Table1[[#This Row],[Org Impact Score]:[Tools]])</f>
        <v>0</v>
      </c>
      <c r="AV255" s="45"/>
      <c r="AW255" s="34"/>
      <c r="AX255" s="34"/>
      <c r="AY255" s="34"/>
    </row>
    <row r="256" spans="1:51">
      <c r="A256" s="31" t="s">
        <v>519</v>
      </c>
      <c r="B256" s="32" t="s">
        <v>195</v>
      </c>
      <c r="C256" s="32" t="b">
        <v>0</v>
      </c>
      <c r="D256" s="32" t="s">
        <v>518</v>
      </c>
      <c r="E256" s="32" t="s">
        <v>890</v>
      </c>
      <c r="F256" s="32" t="s">
        <v>896</v>
      </c>
      <c r="G256" s="32" t="s">
        <v>909</v>
      </c>
      <c r="H256" s="65" t="s">
        <v>520</v>
      </c>
      <c r="I256" s="33"/>
      <c r="J256" s="33"/>
      <c r="K256" s="33"/>
      <c r="L256" s="34"/>
      <c r="M256" s="6"/>
      <c r="N256" s="6"/>
      <c r="O256" s="6"/>
      <c r="P256" s="36"/>
      <c r="Q256" s="34"/>
      <c r="R256" s="34"/>
      <c r="S256" s="34"/>
      <c r="T256" s="37"/>
      <c r="U256" s="37"/>
      <c r="V256" s="38">
        <f>DATEDIF(Table1[[#This Row],[Sponsor*]],Table1[[#This Row],[Start Date*]],"d")</f>
        <v>0</v>
      </c>
      <c r="W256" s="62" t="e">
        <f>DATEDIF([1]!Table1[[#This Row],[Start Date*]],[1]!Table1[[#This Row],[End Date*]],"d")</f>
        <v>#VALUE!</v>
      </c>
      <c r="X256" s="39"/>
      <c r="Y256" s="34"/>
      <c r="Z256" s="34"/>
      <c r="AC256" s="34"/>
      <c r="AE256" s="34"/>
      <c r="AF256" s="40"/>
      <c r="AG256" s="34"/>
      <c r="AH256" s="34"/>
      <c r="AI256" s="34"/>
      <c r="AJ256" s="34"/>
      <c r="AK256" s="34">
        <f>SUBTOTAL(9,Table1[[#This Row],[Up Next Priority]:[Campus]])</f>
        <v>0</v>
      </c>
      <c r="AL256" s="52"/>
      <c r="AM256" s="42"/>
      <c r="AN256" s="43"/>
      <c r="AO256" s="44"/>
      <c r="AP256" s="44"/>
      <c r="AQ256" s="44"/>
      <c r="AR256" s="44"/>
      <c r="AS256" s="51"/>
      <c r="AT256" s="44"/>
      <c r="AU256" s="66">
        <f>SUM(Table1[[#This Row],[Org Impact Score]:[Tools]])</f>
        <v>0</v>
      </c>
      <c r="AV256" s="45"/>
      <c r="AW256" s="34"/>
      <c r="AX256" s="34"/>
      <c r="AY256" s="34"/>
    </row>
    <row r="257" spans="1:51">
      <c r="A257" s="31" t="s">
        <v>516</v>
      </c>
      <c r="B257" s="32" t="s">
        <v>195</v>
      </c>
      <c r="C257" s="32" t="b">
        <v>0</v>
      </c>
      <c r="D257" s="32" t="s">
        <v>515</v>
      </c>
      <c r="E257" s="32" t="s">
        <v>890</v>
      </c>
      <c r="F257" s="32" t="s">
        <v>896</v>
      </c>
      <c r="G257" s="32" t="s">
        <v>81</v>
      </c>
      <c r="H257" s="65" t="s">
        <v>517</v>
      </c>
      <c r="I257" s="33"/>
      <c r="J257" s="33"/>
      <c r="K257" s="33"/>
      <c r="L257" s="34"/>
      <c r="M257" s="6"/>
      <c r="N257" s="6"/>
      <c r="O257" s="6"/>
      <c r="P257" s="36"/>
      <c r="Q257" s="34"/>
      <c r="R257" s="34"/>
      <c r="S257" s="34"/>
      <c r="T257" s="37"/>
      <c r="U257" s="37"/>
      <c r="V257" s="38">
        <f>DATEDIF(Table1[[#This Row],[Sponsor*]],Table1[[#This Row],[Start Date*]],"d")</f>
        <v>0</v>
      </c>
      <c r="W257" s="62" t="e">
        <f>DATEDIF([1]!Table1[[#This Row],[Start Date*]],[1]!Table1[[#This Row],[End Date*]],"d")</f>
        <v>#VALUE!</v>
      </c>
      <c r="X257" s="39"/>
      <c r="Y257" s="34"/>
      <c r="Z257" s="34"/>
      <c r="AC257" s="34"/>
      <c r="AE257" s="34"/>
      <c r="AF257" s="40"/>
      <c r="AG257" s="34"/>
      <c r="AH257" s="34"/>
      <c r="AI257" s="34"/>
      <c r="AJ257" s="34"/>
      <c r="AK257" s="34">
        <f>SUBTOTAL(9,Table1[[#This Row],[Up Next Priority]:[Campus]])</f>
        <v>0</v>
      </c>
      <c r="AL257" s="52"/>
      <c r="AM257" s="42"/>
      <c r="AN257" s="43"/>
      <c r="AO257" s="44"/>
      <c r="AP257" s="44"/>
      <c r="AQ257" s="44"/>
      <c r="AR257" s="44"/>
      <c r="AS257" s="51"/>
      <c r="AT257" s="44"/>
      <c r="AU257" s="66">
        <f>SUM(Table1[[#This Row],[Org Impact Score]:[Tools]])</f>
        <v>0</v>
      </c>
      <c r="AV257" s="45"/>
      <c r="AW257" s="34"/>
      <c r="AX257" s="34"/>
      <c r="AY257" s="34"/>
    </row>
    <row r="258" spans="1:51">
      <c r="A258" s="31" t="s">
        <v>511</v>
      </c>
      <c r="B258" s="32" t="s">
        <v>195</v>
      </c>
      <c r="C258" s="32" t="b">
        <v>0</v>
      </c>
      <c r="D258" s="32" t="s">
        <v>510</v>
      </c>
      <c r="E258" s="32" t="s">
        <v>890</v>
      </c>
      <c r="F258" s="32" t="s">
        <v>895</v>
      </c>
      <c r="G258" s="32" t="s">
        <v>905</v>
      </c>
      <c r="H258" s="65" t="s">
        <v>512</v>
      </c>
      <c r="I258" s="33"/>
      <c r="J258" s="33"/>
      <c r="K258" s="33"/>
      <c r="L258" s="34"/>
      <c r="M258" s="6"/>
      <c r="N258" s="6"/>
      <c r="O258" s="6"/>
      <c r="P258" s="36"/>
      <c r="Q258" s="34"/>
      <c r="R258" s="34"/>
      <c r="S258" s="34"/>
      <c r="T258" s="37"/>
      <c r="U258" s="37"/>
      <c r="V258" s="38">
        <f>DATEDIF(Table1[[#This Row],[Sponsor*]],Table1[[#This Row],[Start Date*]],"d")</f>
        <v>0</v>
      </c>
      <c r="W258" s="62" t="e">
        <f>DATEDIF([1]!Table1[[#This Row],[Start Date*]],[1]!Table1[[#This Row],[End Date*]],"d")</f>
        <v>#VALUE!</v>
      </c>
      <c r="X258" s="39"/>
      <c r="Y258" s="34"/>
      <c r="Z258" s="34"/>
      <c r="AC258" s="34"/>
      <c r="AE258" s="34"/>
      <c r="AF258" s="40"/>
      <c r="AG258" s="34"/>
      <c r="AH258" s="34"/>
      <c r="AI258" s="34"/>
      <c r="AJ258" s="34"/>
      <c r="AK258" s="34">
        <f>SUBTOTAL(9,Table1[[#This Row],[Up Next Priority]:[Campus]])</f>
        <v>0</v>
      </c>
      <c r="AL258" s="52"/>
      <c r="AM258" s="42"/>
      <c r="AN258" s="43"/>
      <c r="AO258" s="44"/>
      <c r="AP258" s="44"/>
      <c r="AQ258" s="44"/>
      <c r="AR258" s="44"/>
      <c r="AS258" s="51"/>
      <c r="AT258" s="44"/>
      <c r="AU258" s="66">
        <f>SUM(Table1[[#This Row],[Org Impact Score]:[Tools]])</f>
        <v>0</v>
      </c>
      <c r="AV258" s="45"/>
      <c r="AW258" s="34"/>
      <c r="AX258" s="34"/>
      <c r="AY258" s="34"/>
    </row>
    <row r="259" spans="1:51">
      <c r="A259" s="31" t="s">
        <v>506</v>
      </c>
      <c r="B259" s="32" t="s">
        <v>195</v>
      </c>
      <c r="C259" s="32" t="b">
        <v>0</v>
      </c>
      <c r="D259" s="32" t="s">
        <v>505</v>
      </c>
      <c r="E259" s="32" t="s">
        <v>890</v>
      </c>
      <c r="F259" s="32" t="s">
        <v>895</v>
      </c>
      <c r="G259" s="32" t="s">
        <v>913</v>
      </c>
      <c r="H259" s="65" t="s">
        <v>507</v>
      </c>
      <c r="I259" s="33"/>
      <c r="J259" s="33"/>
      <c r="K259" s="33"/>
      <c r="L259" s="34"/>
      <c r="M259" s="6"/>
      <c r="N259" s="6"/>
      <c r="O259" s="6"/>
      <c r="P259" s="36"/>
      <c r="Q259" s="34"/>
      <c r="R259" s="34"/>
      <c r="S259" s="34"/>
      <c r="T259" s="37"/>
      <c r="U259" s="37"/>
      <c r="V259" s="38">
        <f>DATEDIF(Table1[[#This Row],[Sponsor*]],Table1[[#This Row],[Start Date*]],"d")</f>
        <v>0</v>
      </c>
      <c r="W259" s="62" t="e">
        <f>DATEDIF([1]!Table1[[#This Row],[Start Date*]],[1]!Table1[[#This Row],[End Date*]],"d")</f>
        <v>#VALUE!</v>
      </c>
      <c r="X259" s="39"/>
      <c r="Y259" s="34"/>
      <c r="Z259" s="34"/>
      <c r="AC259" s="34"/>
      <c r="AE259" s="34"/>
      <c r="AF259" s="40"/>
      <c r="AG259" s="34"/>
      <c r="AH259" s="34"/>
      <c r="AI259" s="34"/>
      <c r="AJ259" s="34"/>
      <c r="AK259" s="34">
        <f>SUBTOTAL(9,Table1[[#This Row],[Up Next Priority]:[Campus]])</f>
        <v>0</v>
      </c>
      <c r="AL259" s="52"/>
      <c r="AM259" s="42"/>
      <c r="AN259" s="43"/>
      <c r="AO259" s="44"/>
      <c r="AP259" s="44"/>
      <c r="AQ259" s="44"/>
      <c r="AR259" s="44"/>
      <c r="AS259" s="51"/>
      <c r="AT259" s="44"/>
      <c r="AU259" s="66">
        <f>SUM(Table1[[#This Row],[Org Impact Score]:[Tools]])</f>
        <v>0</v>
      </c>
      <c r="AV259" s="45"/>
      <c r="AW259" s="34"/>
      <c r="AX259" s="34"/>
      <c r="AY259" s="34"/>
    </row>
    <row r="260" spans="1:51">
      <c r="A260" s="31" t="s">
        <v>503</v>
      </c>
      <c r="B260" s="32" t="s">
        <v>195</v>
      </c>
      <c r="C260" s="32" t="b">
        <v>0</v>
      </c>
      <c r="D260" s="32" t="s">
        <v>502</v>
      </c>
      <c r="E260" s="32" t="s">
        <v>890</v>
      </c>
      <c r="F260" s="32" t="s">
        <v>895</v>
      </c>
      <c r="G260" s="32" t="s">
        <v>76</v>
      </c>
      <c r="H260" s="65" t="s">
        <v>504</v>
      </c>
      <c r="I260" s="33"/>
      <c r="J260" s="33"/>
      <c r="K260" s="33"/>
      <c r="L260" s="34"/>
      <c r="M260" s="6"/>
      <c r="N260" s="6"/>
      <c r="O260" s="6"/>
      <c r="P260" s="36"/>
      <c r="Q260" s="34"/>
      <c r="R260" s="34"/>
      <c r="S260" s="34"/>
      <c r="T260" s="37"/>
      <c r="U260" s="37"/>
      <c r="V260" s="38">
        <f>DATEDIF(Table1[[#This Row],[Sponsor*]],Table1[[#This Row],[Start Date*]],"d")</f>
        <v>0</v>
      </c>
      <c r="W260" s="62" t="e">
        <f>DATEDIF([1]!Table1[[#This Row],[Start Date*]],[1]!Table1[[#This Row],[End Date*]],"d")</f>
        <v>#VALUE!</v>
      </c>
      <c r="X260" s="39"/>
      <c r="Y260" s="34"/>
      <c r="Z260" s="34"/>
      <c r="AC260" s="34"/>
      <c r="AE260" s="34"/>
      <c r="AF260" s="40"/>
      <c r="AG260" s="34"/>
      <c r="AH260" s="34"/>
      <c r="AI260" s="34"/>
      <c r="AJ260" s="34"/>
      <c r="AK260" s="34">
        <f>SUBTOTAL(9,Table1[[#This Row],[Up Next Priority]:[Campus]])</f>
        <v>0</v>
      </c>
      <c r="AL260" s="52"/>
      <c r="AM260" s="42"/>
      <c r="AN260" s="43"/>
      <c r="AO260" s="44"/>
      <c r="AP260" s="44"/>
      <c r="AQ260" s="44"/>
      <c r="AR260" s="44"/>
      <c r="AS260" s="51"/>
      <c r="AT260" s="44"/>
      <c r="AU260" s="66">
        <f>SUM(Table1[[#This Row],[Org Impact Score]:[Tools]])</f>
        <v>0</v>
      </c>
      <c r="AV260" s="45"/>
      <c r="AW260" s="34"/>
      <c r="AX260" s="34"/>
      <c r="AY260" s="34"/>
    </row>
    <row r="261" spans="1:51">
      <c r="A261" s="31" t="s">
        <v>500</v>
      </c>
      <c r="B261" s="32" t="s">
        <v>195</v>
      </c>
      <c r="C261" s="32" t="b">
        <v>0</v>
      </c>
      <c r="D261" s="32" t="s">
        <v>499</v>
      </c>
      <c r="E261" s="32" t="s">
        <v>890</v>
      </c>
      <c r="F261" s="32" t="s">
        <v>895</v>
      </c>
      <c r="G261" s="32" t="s">
        <v>907</v>
      </c>
      <c r="H261" s="65" t="s">
        <v>501</v>
      </c>
      <c r="I261" s="33"/>
      <c r="J261" s="33"/>
      <c r="K261" s="33"/>
      <c r="L261" s="34"/>
      <c r="M261" s="6"/>
      <c r="N261" s="6"/>
      <c r="O261" s="6"/>
      <c r="P261" s="36"/>
      <c r="Q261" s="34"/>
      <c r="R261" s="34"/>
      <c r="S261" s="34"/>
      <c r="T261" s="37"/>
      <c r="U261" s="37"/>
      <c r="V261" s="38">
        <f>DATEDIF(Table1[[#This Row],[Sponsor*]],Table1[[#This Row],[Start Date*]],"d")</f>
        <v>0</v>
      </c>
      <c r="W261" s="62" t="e">
        <f>DATEDIF([1]!Table1[[#This Row],[Start Date*]],[1]!Table1[[#This Row],[End Date*]],"d")</f>
        <v>#VALUE!</v>
      </c>
      <c r="X261" s="39"/>
      <c r="Y261" s="34"/>
      <c r="Z261" s="34"/>
      <c r="AC261" s="34"/>
      <c r="AE261" s="34"/>
      <c r="AF261" s="40"/>
      <c r="AG261" s="34"/>
      <c r="AH261" s="34"/>
      <c r="AI261" s="34"/>
      <c r="AJ261" s="34"/>
      <c r="AK261" s="34">
        <f>SUBTOTAL(9,Table1[[#This Row],[Up Next Priority]:[Campus]])</f>
        <v>0</v>
      </c>
      <c r="AL261" s="52"/>
      <c r="AM261" s="42"/>
      <c r="AN261" s="43"/>
      <c r="AO261" s="44"/>
      <c r="AP261" s="44"/>
      <c r="AQ261" s="44"/>
      <c r="AR261" s="44"/>
      <c r="AS261" s="51"/>
      <c r="AT261" s="44"/>
      <c r="AU261" s="66">
        <f>SUM(Table1[[#This Row],[Org Impact Score]:[Tools]])</f>
        <v>0</v>
      </c>
      <c r="AV261" s="45"/>
      <c r="AW261" s="34"/>
      <c r="AX261" s="34"/>
      <c r="AY261" s="34"/>
    </row>
    <row r="262" spans="1:51">
      <c r="A262" s="31" t="s">
        <v>497</v>
      </c>
      <c r="B262" s="32" t="s">
        <v>195</v>
      </c>
      <c r="C262" s="32" t="b">
        <v>0</v>
      </c>
      <c r="D262" s="32" t="s">
        <v>496</v>
      </c>
      <c r="E262" s="32" t="s">
        <v>890</v>
      </c>
      <c r="F262" s="32" t="s">
        <v>895</v>
      </c>
      <c r="G262" s="32" t="s">
        <v>926</v>
      </c>
      <c r="H262" s="65" t="s">
        <v>498</v>
      </c>
      <c r="I262" s="33"/>
      <c r="J262" s="33"/>
      <c r="K262" s="33"/>
      <c r="L262" s="34"/>
      <c r="M262" s="6"/>
      <c r="N262" s="6"/>
      <c r="O262" s="6"/>
      <c r="P262" s="36"/>
      <c r="Q262" s="34"/>
      <c r="R262" s="34"/>
      <c r="S262" s="34"/>
      <c r="T262" s="37"/>
      <c r="U262" s="37"/>
      <c r="V262" s="38">
        <f>DATEDIF(Table1[[#This Row],[Sponsor*]],Table1[[#This Row],[Start Date*]],"d")</f>
        <v>0</v>
      </c>
      <c r="W262" s="62" t="e">
        <f>DATEDIF([1]!Table1[[#This Row],[Start Date*]],[1]!Table1[[#This Row],[End Date*]],"d")</f>
        <v>#VALUE!</v>
      </c>
      <c r="X262" s="39"/>
      <c r="Y262" s="34"/>
      <c r="Z262" s="34"/>
      <c r="AC262" s="34"/>
      <c r="AE262" s="34"/>
      <c r="AF262" s="40"/>
      <c r="AG262" s="34"/>
      <c r="AH262" s="34"/>
      <c r="AI262" s="34"/>
      <c r="AJ262" s="34"/>
      <c r="AK262" s="34">
        <f>SUBTOTAL(9,Table1[[#This Row],[Up Next Priority]:[Campus]])</f>
        <v>0</v>
      </c>
      <c r="AL262" s="52"/>
      <c r="AM262" s="42"/>
      <c r="AN262" s="43"/>
      <c r="AO262" s="44"/>
      <c r="AP262" s="44"/>
      <c r="AQ262" s="44"/>
      <c r="AR262" s="44"/>
      <c r="AS262" s="51"/>
      <c r="AT262" s="44"/>
      <c r="AU262" s="66">
        <f>SUM(Table1[[#This Row],[Org Impact Score]:[Tools]])</f>
        <v>0</v>
      </c>
      <c r="AV262" s="45"/>
      <c r="AW262" s="34"/>
      <c r="AX262" s="34"/>
      <c r="AY262" s="34"/>
    </row>
    <row r="263" spans="1:51">
      <c r="A263" s="31" t="s">
        <v>494</v>
      </c>
      <c r="B263" s="32" t="s">
        <v>195</v>
      </c>
      <c r="C263" s="32" t="b">
        <v>0</v>
      </c>
      <c r="D263" s="32" t="s">
        <v>493</v>
      </c>
      <c r="E263" s="32" t="s">
        <v>890</v>
      </c>
      <c r="F263" s="32" t="s">
        <v>895</v>
      </c>
      <c r="G263" s="32" t="s">
        <v>81</v>
      </c>
      <c r="H263" s="65" t="s">
        <v>495</v>
      </c>
      <c r="I263" s="33"/>
      <c r="J263" s="33"/>
      <c r="K263" s="33"/>
      <c r="L263" s="34"/>
      <c r="M263" s="6"/>
      <c r="N263" s="6"/>
      <c r="O263" s="6"/>
      <c r="P263" s="36"/>
      <c r="Q263" s="34"/>
      <c r="R263" s="34"/>
      <c r="S263" s="34"/>
      <c r="T263" s="37"/>
      <c r="U263" s="37"/>
      <c r="V263" s="38">
        <f>DATEDIF(Table1[[#This Row],[Sponsor*]],Table1[[#This Row],[Start Date*]],"d")</f>
        <v>0</v>
      </c>
      <c r="W263" s="62" t="e">
        <f>DATEDIF([1]!Table1[[#This Row],[Start Date*]],[1]!Table1[[#This Row],[End Date*]],"d")</f>
        <v>#VALUE!</v>
      </c>
      <c r="X263" s="39"/>
      <c r="Y263" s="34"/>
      <c r="Z263" s="34"/>
      <c r="AC263" s="34"/>
      <c r="AE263" s="34"/>
      <c r="AF263" s="40"/>
      <c r="AG263" s="34"/>
      <c r="AH263" s="34"/>
      <c r="AI263" s="34"/>
      <c r="AJ263" s="34"/>
      <c r="AK263" s="34">
        <f>SUBTOTAL(9,Table1[[#This Row],[Up Next Priority]:[Campus]])</f>
        <v>0</v>
      </c>
      <c r="AL263" s="52"/>
      <c r="AM263" s="42"/>
      <c r="AN263" s="43"/>
      <c r="AO263" s="44"/>
      <c r="AP263" s="44"/>
      <c r="AQ263" s="44"/>
      <c r="AR263" s="44"/>
      <c r="AS263" s="51"/>
      <c r="AT263" s="44"/>
      <c r="AU263" s="66">
        <f>SUM(Table1[[#This Row],[Org Impact Score]:[Tools]])</f>
        <v>0</v>
      </c>
      <c r="AV263" s="45"/>
      <c r="AW263" s="34"/>
      <c r="AX263" s="34"/>
      <c r="AY263" s="34"/>
    </row>
    <row r="264" spans="1:51">
      <c r="A264" s="31" t="s">
        <v>1193</v>
      </c>
      <c r="B264" s="32" t="s">
        <v>195</v>
      </c>
      <c r="C264" s="32" t="b">
        <v>0</v>
      </c>
      <c r="D264" s="32" t="s">
        <v>1192</v>
      </c>
      <c r="E264" s="32" t="s">
        <v>890</v>
      </c>
      <c r="F264" s="32" t="s">
        <v>894</v>
      </c>
      <c r="G264" s="32" t="s">
        <v>909</v>
      </c>
      <c r="H264" s="65" t="s">
        <v>1194</v>
      </c>
      <c r="I264" s="33"/>
      <c r="J264" s="33"/>
      <c r="K264" s="33"/>
      <c r="L264" s="34"/>
      <c r="M264" s="6"/>
      <c r="N264" s="6"/>
      <c r="O264" s="6"/>
      <c r="P264" s="36"/>
      <c r="Q264" s="34"/>
      <c r="R264" s="34"/>
      <c r="S264" s="34"/>
      <c r="T264" s="37"/>
      <c r="U264" s="37"/>
      <c r="V264" s="38">
        <f>DATEDIF(Table1[[#This Row],[Sponsor*]],Table1[[#This Row],[Start Date*]],"d")</f>
        <v>0</v>
      </c>
      <c r="W264" s="62" t="e">
        <f>DATEDIF([1]!Table1[[#This Row],[Start Date*]],[1]!Table1[[#This Row],[End Date*]],"d")</f>
        <v>#VALUE!</v>
      </c>
      <c r="X264" s="39"/>
      <c r="Y264" s="34"/>
      <c r="Z264" s="34"/>
      <c r="AC264" s="34"/>
      <c r="AE264" s="34"/>
      <c r="AF264" s="40"/>
      <c r="AG264" s="34"/>
      <c r="AH264" s="34"/>
      <c r="AI264" s="34"/>
      <c r="AJ264" s="34"/>
      <c r="AK264" s="34">
        <f>SUBTOTAL(9,Table1[[#This Row],[Up Next Priority]:[Campus]])</f>
        <v>0</v>
      </c>
      <c r="AL264" s="52"/>
      <c r="AM264" s="42"/>
      <c r="AN264" s="43"/>
      <c r="AO264" s="44"/>
      <c r="AP264" s="44"/>
      <c r="AQ264" s="44"/>
      <c r="AR264" s="44"/>
      <c r="AS264" s="51"/>
      <c r="AT264" s="44"/>
      <c r="AU264" s="66">
        <f>SUM(Table1[[#This Row],[Org Impact Score]:[Tools]])</f>
        <v>0</v>
      </c>
      <c r="AV264" s="45"/>
      <c r="AW264" s="34"/>
      <c r="AX264" s="34"/>
      <c r="AY264" s="34"/>
    </row>
    <row r="265" spans="1:51">
      <c r="A265" s="31" t="s">
        <v>491</v>
      </c>
      <c r="B265" s="32" t="s">
        <v>195</v>
      </c>
      <c r="C265" s="32" t="b">
        <v>0</v>
      </c>
      <c r="D265" s="32" t="s">
        <v>490</v>
      </c>
      <c r="E265" s="32" t="s">
        <v>890</v>
      </c>
      <c r="F265" s="32" t="s">
        <v>894</v>
      </c>
      <c r="G265" s="32" t="s">
        <v>906</v>
      </c>
      <c r="H265" s="65" t="s">
        <v>492</v>
      </c>
      <c r="I265" s="33"/>
      <c r="J265" s="33"/>
      <c r="K265" s="33"/>
      <c r="L265" s="34"/>
      <c r="M265" s="6"/>
      <c r="N265" s="6"/>
      <c r="O265" s="6"/>
      <c r="P265" s="36"/>
      <c r="Q265" s="34"/>
      <c r="R265" s="34"/>
      <c r="S265" s="34"/>
      <c r="T265" s="37"/>
      <c r="U265" s="37"/>
      <c r="V265" s="38">
        <f>DATEDIF(Table1[[#This Row],[Sponsor*]],Table1[[#This Row],[Start Date*]],"d")</f>
        <v>0</v>
      </c>
      <c r="W265" s="62" t="e">
        <f>DATEDIF([1]!Table1[[#This Row],[Start Date*]],[1]!Table1[[#This Row],[End Date*]],"d")</f>
        <v>#VALUE!</v>
      </c>
      <c r="X265" s="39"/>
      <c r="Y265" s="34"/>
      <c r="Z265" s="34"/>
      <c r="AC265" s="34"/>
      <c r="AE265" s="34"/>
      <c r="AF265" s="40"/>
      <c r="AG265" s="34"/>
      <c r="AH265" s="34"/>
      <c r="AI265" s="34"/>
      <c r="AJ265" s="34"/>
      <c r="AK265" s="34">
        <f>SUBTOTAL(9,Table1[[#This Row],[Up Next Priority]:[Campus]])</f>
        <v>0</v>
      </c>
      <c r="AL265" s="52"/>
      <c r="AM265" s="42"/>
      <c r="AN265" s="43"/>
      <c r="AO265" s="44"/>
      <c r="AP265" s="44"/>
      <c r="AQ265" s="44"/>
      <c r="AR265" s="44"/>
      <c r="AS265" s="51"/>
      <c r="AT265" s="44"/>
      <c r="AU265" s="66">
        <f>SUM(Table1[[#This Row],[Org Impact Score]:[Tools]])</f>
        <v>0</v>
      </c>
      <c r="AV265" s="45"/>
      <c r="AW265" s="34"/>
      <c r="AX265" s="34"/>
      <c r="AY265" s="34"/>
    </row>
    <row r="266" spans="1:51">
      <c r="A266" s="31" t="s">
        <v>486</v>
      </c>
      <c r="B266" s="32" t="s">
        <v>195</v>
      </c>
      <c r="C266" s="32" t="b">
        <v>0</v>
      </c>
      <c r="D266" s="32" t="s">
        <v>485</v>
      </c>
      <c r="E266" s="32" t="s">
        <v>890</v>
      </c>
      <c r="F266" s="32" t="s">
        <v>894</v>
      </c>
      <c r="G266" s="32" t="s">
        <v>81</v>
      </c>
      <c r="H266" s="65" t="s">
        <v>487</v>
      </c>
      <c r="I266" s="33"/>
      <c r="J266" s="33"/>
      <c r="K266" s="33"/>
      <c r="L266" s="34"/>
      <c r="M266" s="6"/>
      <c r="N266" s="6"/>
      <c r="O266" s="6"/>
      <c r="P266" s="36"/>
      <c r="Q266" s="34"/>
      <c r="R266" s="34"/>
      <c r="S266" s="34"/>
      <c r="T266" s="37"/>
      <c r="U266" s="37"/>
      <c r="V266" s="38">
        <f>DATEDIF(Table1[[#This Row],[Sponsor*]],Table1[[#This Row],[Start Date*]],"d")</f>
        <v>0</v>
      </c>
      <c r="W266" s="62" t="e">
        <f>DATEDIF([1]!Table1[[#This Row],[Start Date*]],[1]!Table1[[#This Row],[End Date*]],"d")</f>
        <v>#VALUE!</v>
      </c>
      <c r="X266" s="39"/>
      <c r="Y266" s="34"/>
      <c r="Z266" s="34"/>
      <c r="AC266" s="34"/>
      <c r="AE266" s="34"/>
      <c r="AF266" s="40"/>
      <c r="AG266" s="34"/>
      <c r="AH266" s="34"/>
      <c r="AI266" s="34"/>
      <c r="AJ266" s="34"/>
      <c r="AK266" s="34">
        <f>SUBTOTAL(9,Table1[[#This Row],[Up Next Priority]:[Campus]])</f>
        <v>0</v>
      </c>
      <c r="AL266" s="52"/>
      <c r="AM266" s="42"/>
      <c r="AN266" s="43"/>
      <c r="AO266" s="44"/>
      <c r="AP266" s="44"/>
      <c r="AQ266" s="44"/>
      <c r="AR266" s="44"/>
      <c r="AS266" s="51"/>
      <c r="AT266" s="44"/>
      <c r="AU266" s="66">
        <f>SUM(Table1[[#This Row],[Org Impact Score]:[Tools]])</f>
        <v>0</v>
      </c>
      <c r="AV266" s="45"/>
      <c r="AW266" s="34"/>
      <c r="AX266" s="34"/>
      <c r="AY266" s="34"/>
    </row>
    <row r="267" spans="1:51">
      <c r="A267" s="31" t="s">
        <v>476</v>
      </c>
      <c r="B267" s="32" t="s">
        <v>195</v>
      </c>
      <c r="C267" s="32" t="b">
        <v>0</v>
      </c>
      <c r="D267" s="32" t="s">
        <v>475</v>
      </c>
      <c r="E267" s="32" t="s">
        <v>890</v>
      </c>
      <c r="F267" s="32" t="s">
        <v>0</v>
      </c>
      <c r="G267" s="32" t="s">
        <v>913</v>
      </c>
      <c r="H267" s="65" t="s">
        <v>477</v>
      </c>
      <c r="I267" s="33"/>
      <c r="J267" s="33"/>
      <c r="K267" s="33"/>
      <c r="L267" s="34"/>
      <c r="M267" s="6"/>
      <c r="N267" s="6"/>
      <c r="O267" s="6"/>
      <c r="P267" s="36"/>
      <c r="Q267" s="34"/>
      <c r="R267" s="34"/>
      <c r="S267" s="34"/>
      <c r="T267" s="37"/>
      <c r="U267" s="37"/>
      <c r="V267" s="38">
        <f>DATEDIF(Table1[[#This Row],[Sponsor*]],Table1[[#This Row],[Start Date*]],"d")</f>
        <v>0</v>
      </c>
      <c r="W267" s="62" t="e">
        <f>DATEDIF([1]!Table1[[#This Row],[Start Date*]],[1]!Table1[[#This Row],[End Date*]],"d")</f>
        <v>#VALUE!</v>
      </c>
      <c r="X267" s="39"/>
      <c r="Y267" s="34"/>
      <c r="Z267" s="34"/>
      <c r="AC267" s="34"/>
      <c r="AE267" s="34"/>
      <c r="AF267" s="40"/>
      <c r="AG267" s="34"/>
      <c r="AH267" s="34"/>
      <c r="AI267" s="34"/>
      <c r="AJ267" s="34"/>
      <c r="AK267" s="34">
        <f>SUBTOTAL(9,Table1[[#This Row],[Up Next Priority]:[Campus]])</f>
        <v>0</v>
      </c>
      <c r="AL267" s="52"/>
      <c r="AM267" s="42"/>
      <c r="AN267" s="43"/>
      <c r="AO267" s="44"/>
      <c r="AP267" s="44"/>
      <c r="AQ267" s="44"/>
      <c r="AR267" s="44"/>
      <c r="AS267" s="51"/>
      <c r="AT267" s="44"/>
      <c r="AU267" s="66">
        <f>SUM(Table1[[#This Row],[Org Impact Score]:[Tools]])</f>
        <v>0</v>
      </c>
      <c r="AV267" s="45"/>
      <c r="AW267" s="34"/>
      <c r="AX267" s="34"/>
      <c r="AY267" s="34"/>
    </row>
    <row r="268" spans="1:51">
      <c r="A268" s="31" t="s">
        <v>1286</v>
      </c>
      <c r="B268" s="32" t="s">
        <v>195</v>
      </c>
      <c r="C268" s="32" t="b">
        <v>1</v>
      </c>
      <c r="D268" s="32" t="s">
        <v>1285</v>
      </c>
      <c r="E268" s="32" t="s">
        <v>890</v>
      </c>
      <c r="F268" s="32" t="s">
        <v>0</v>
      </c>
      <c r="G268" s="32" t="s">
        <v>1197</v>
      </c>
      <c r="H268" s="65" t="s">
        <v>1287</v>
      </c>
      <c r="I268" s="33"/>
      <c r="J268" s="33"/>
      <c r="K268" s="33"/>
      <c r="L268" s="34"/>
      <c r="M268" s="6"/>
      <c r="N268" s="6"/>
      <c r="O268" s="6"/>
      <c r="P268" s="36"/>
      <c r="Q268" s="34"/>
      <c r="R268" s="34"/>
      <c r="S268" s="34"/>
      <c r="T268" s="37"/>
      <c r="U268" s="37"/>
      <c r="V268" s="38">
        <f>DATEDIF(Table1[[#This Row],[Sponsor*]],Table1[[#This Row],[Start Date*]],"d")</f>
        <v>0</v>
      </c>
      <c r="W268" s="62" t="e">
        <f>DATEDIF([1]!Table1[[#This Row],[Start Date*]],[1]!Table1[[#This Row],[End Date*]],"d")</f>
        <v>#VALUE!</v>
      </c>
      <c r="X268" s="39"/>
      <c r="Y268" s="34"/>
      <c r="Z268" s="34"/>
      <c r="AC268" s="34"/>
      <c r="AE268" s="34"/>
      <c r="AF268" s="40"/>
      <c r="AG268" s="34"/>
      <c r="AH268" s="34"/>
      <c r="AI268" s="34"/>
      <c r="AJ268" s="34"/>
      <c r="AK268" s="34">
        <f>SUBTOTAL(9,Table1[[#This Row],[Up Next Priority]:[Campus]])</f>
        <v>0</v>
      </c>
      <c r="AL268" s="52"/>
      <c r="AM268" s="42"/>
      <c r="AN268" s="43"/>
      <c r="AO268" s="44"/>
      <c r="AP268" s="44"/>
      <c r="AQ268" s="44"/>
      <c r="AR268" s="44"/>
      <c r="AS268" s="51"/>
      <c r="AT268" s="44"/>
      <c r="AU268" s="66">
        <f>SUM(Table1[[#This Row],[Org Impact Score]:[Tools]])</f>
        <v>0</v>
      </c>
      <c r="AV268" s="45"/>
      <c r="AW268" s="34"/>
      <c r="AX268" s="34"/>
      <c r="AY268" s="34"/>
    </row>
    <row r="269" spans="1:51">
      <c r="A269" s="31" t="s">
        <v>1283</v>
      </c>
      <c r="B269" s="32" t="s">
        <v>195</v>
      </c>
      <c r="C269" s="32" t="b">
        <v>1</v>
      </c>
      <c r="D269" s="32" t="s">
        <v>1282</v>
      </c>
      <c r="E269" s="32" t="s">
        <v>890</v>
      </c>
      <c r="F269" s="32" t="s">
        <v>0</v>
      </c>
      <c r="G269" s="32"/>
      <c r="H269" s="65" t="s">
        <v>1284</v>
      </c>
      <c r="I269" s="33"/>
      <c r="J269" s="33"/>
      <c r="K269" s="33"/>
      <c r="L269" s="34"/>
      <c r="M269" s="6"/>
      <c r="N269" s="6"/>
      <c r="O269" s="6"/>
      <c r="P269" s="36"/>
      <c r="Q269" s="34"/>
      <c r="R269" s="34"/>
      <c r="S269" s="34"/>
      <c r="T269" s="37"/>
      <c r="U269" s="37"/>
      <c r="V269" s="38">
        <f>DATEDIF(Table1[[#This Row],[Sponsor*]],Table1[[#This Row],[Start Date*]],"d")</f>
        <v>0</v>
      </c>
      <c r="W269" s="62" t="e">
        <f>DATEDIF([1]!Table1[[#This Row],[Start Date*]],[1]!Table1[[#This Row],[End Date*]],"d")</f>
        <v>#VALUE!</v>
      </c>
      <c r="X269" s="39"/>
      <c r="Y269" s="34"/>
      <c r="Z269" s="34"/>
      <c r="AC269" s="34"/>
      <c r="AE269" s="34"/>
      <c r="AF269" s="40"/>
      <c r="AG269" s="34"/>
      <c r="AH269" s="34"/>
      <c r="AI269" s="34"/>
      <c r="AJ269" s="34"/>
      <c r="AK269" s="34">
        <f>SUBTOTAL(9,Table1[[#This Row],[Up Next Priority]:[Campus]])</f>
        <v>0</v>
      </c>
      <c r="AL269" s="52"/>
      <c r="AM269" s="42"/>
      <c r="AN269" s="43"/>
      <c r="AO269" s="44"/>
      <c r="AP269" s="44"/>
      <c r="AQ269" s="44"/>
      <c r="AR269" s="44"/>
      <c r="AS269" s="51"/>
      <c r="AT269" s="44"/>
      <c r="AU269" s="66">
        <f>SUM(Table1[[#This Row],[Org Impact Score]:[Tools]])</f>
        <v>0</v>
      </c>
      <c r="AV269" s="45"/>
      <c r="AW269" s="34"/>
      <c r="AX269" s="34"/>
      <c r="AY269" s="34"/>
    </row>
    <row r="270" spans="1:51">
      <c r="A270" s="31" t="s">
        <v>1280</v>
      </c>
      <c r="B270" s="32" t="s">
        <v>195</v>
      </c>
      <c r="C270" s="32" t="b">
        <v>1</v>
      </c>
      <c r="D270" s="32" t="s">
        <v>1279</v>
      </c>
      <c r="E270" s="32" t="s">
        <v>890</v>
      </c>
      <c r="F270" s="32" t="s">
        <v>0</v>
      </c>
      <c r="G270" s="32"/>
      <c r="H270" s="65" t="s">
        <v>1281</v>
      </c>
      <c r="I270" s="33"/>
      <c r="J270" s="33"/>
      <c r="K270" s="33"/>
      <c r="L270" s="34"/>
      <c r="M270" s="6"/>
      <c r="N270" s="6"/>
      <c r="O270" s="6"/>
      <c r="P270" s="36"/>
      <c r="Q270" s="34"/>
      <c r="R270" s="34"/>
      <c r="S270" s="34"/>
      <c r="T270" s="37"/>
      <c r="U270" s="37"/>
      <c r="V270" s="38">
        <f>DATEDIF(Table1[[#This Row],[Sponsor*]],Table1[[#This Row],[Start Date*]],"d")</f>
        <v>0</v>
      </c>
      <c r="W270" s="62" t="e">
        <f>DATEDIF([1]!Table1[[#This Row],[Start Date*]],[1]!Table1[[#This Row],[End Date*]],"d")</f>
        <v>#VALUE!</v>
      </c>
      <c r="X270" s="39"/>
      <c r="Y270" s="34"/>
      <c r="Z270" s="34"/>
      <c r="AC270" s="34"/>
      <c r="AE270" s="34"/>
      <c r="AF270" s="40"/>
      <c r="AG270" s="34"/>
      <c r="AH270" s="34"/>
      <c r="AI270" s="34"/>
      <c r="AJ270" s="34"/>
      <c r="AK270" s="34">
        <f>SUBTOTAL(9,Table1[[#This Row],[Up Next Priority]:[Campus]])</f>
        <v>0</v>
      </c>
      <c r="AL270" s="52"/>
      <c r="AM270" s="42"/>
      <c r="AN270" s="43"/>
      <c r="AO270" s="44"/>
      <c r="AP270" s="44"/>
      <c r="AQ270" s="44"/>
      <c r="AR270" s="44"/>
      <c r="AS270" s="51"/>
      <c r="AT270" s="44"/>
      <c r="AU270" s="66">
        <f>SUM(Table1[[#This Row],[Org Impact Score]:[Tools]])</f>
        <v>0</v>
      </c>
      <c r="AV270" s="45"/>
      <c r="AW270" s="34"/>
      <c r="AX270" s="34"/>
      <c r="AY270" s="34"/>
    </row>
    <row r="271" spans="1:51">
      <c r="A271" s="31" t="s">
        <v>1277</v>
      </c>
      <c r="B271" s="32" t="s">
        <v>195</v>
      </c>
      <c r="C271" s="32" t="b">
        <v>1</v>
      </c>
      <c r="D271" s="32" t="s">
        <v>1276</v>
      </c>
      <c r="E271" s="32" t="s">
        <v>890</v>
      </c>
      <c r="F271" s="32" t="s">
        <v>0</v>
      </c>
      <c r="G271" s="32"/>
      <c r="H271" s="65" t="s">
        <v>1278</v>
      </c>
      <c r="I271" s="33"/>
      <c r="J271" s="33"/>
      <c r="K271" s="33"/>
      <c r="L271" s="34"/>
      <c r="M271" s="6"/>
      <c r="N271" s="6"/>
      <c r="O271" s="6"/>
      <c r="P271" s="36"/>
      <c r="Q271" s="34"/>
      <c r="R271" s="34"/>
      <c r="S271" s="34"/>
      <c r="T271" s="37"/>
      <c r="U271" s="37"/>
      <c r="V271" s="38">
        <f>DATEDIF(Table1[[#This Row],[Sponsor*]],Table1[[#This Row],[Start Date*]],"d")</f>
        <v>0</v>
      </c>
      <c r="W271" s="62" t="e">
        <f>DATEDIF([1]!Table1[[#This Row],[Start Date*]],[1]!Table1[[#This Row],[End Date*]],"d")</f>
        <v>#VALUE!</v>
      </c>
      <c r="X271" s="39"/>
      <c r="Y271" s="34"/>
      <c r="Z271" s="34"/>
      <c r="AC271" s="34"/>
      <c r="AE271" s="34"/>
      <c r="AF271" s="40"/>
      <c r="AG271" s="34"/>
      <c r="AH271" s="34"/>
      <c r="AI271" s="34"/>
      <c r="AJ271" s="34"/>
      <c r="AK271" s="34">
        <f>SUBTOTAL(9,Table1[[#This Row],[Up Next Priority]:[Campus]])</f>
        <v>0</v>
      </c>
      <c r="AL271" s="52"/>
      <c r="AM271" s="42"/>
      <c r="AN271" s="43"/>
      <c r="AO271" s="44"/>
      <c r="AP271" s="44"/>
      <c r="AQ271" s="44"/>
      <c r="AR271" s="44"/>
      <c r="AS271" s="51"/>
      <c r="AT271" s="44"/>
      <c r="AU271" s="66">
        <f>SUM(Table1[[#This Row],[Org Impact Score]:[Tools]])</f>
        <v>0</v>
      </c>
      <c r="AV271" s="45"/>
      <c r="AW271" s="34"/>
      <c r="AX271" s="34"/>
      <c r="AY271" s="34"/>
    </row>
    <row r="272" spans="1:51">
      <c r="A272" s="31" t="s">
        <v>1274</v>
      </c>
      <c r="B272" s="32" t="s">
        <v>195</v>
      </c>
      <c r="C272" s="32" t="b">
        <v>1</v>
      </c>
      <c r="D272" s="32" t="s">
        <v>1273</v>
      </c>
      <c r="E272" s="32" t="s">
        <v>890</v>
      </c>
      <c r="F272" s="32" t="s">
        <v>0</v>
      </c>
      <c r="G272" s="32"/>
      <c r="H272" s="65" t="s">
        <v>1275</v>
      </c>
      <c r="I272" s="33"/>
      <c r="J272" s="33"/>
      <c r="K272" s="33"/>
      <c r="L272" s="34"/>
      <c r="M272" s="6"/>
      <c r="N272" s="6"/>
      <c r="O272" s="6"/>
      <c r="P272" s="36"/>
      <c r="Q272" s="34"/>
      <c r="R272" s="34"/>
      <c r="S272" s="34"/>
      <c r="T272" s="37"/>
      <c r="U272" s="37"/>
      <c r="V272" s="38">
        <f>DATEDIF(Table1[[#This Row],[Sponsor*]],Table1[[#This Row],[Start Date*]],"d")</f>
        <v>0</v>
      </c>
      <c r="W272" s="62" t="e">
        <f>DATEDIF([1]!Table1[[#This Row],[Start Date*]],[1]!Table1[[#This Row],[End Date*]],"d")</f>
        <v>#VALUE!</v>
      </c>
      <c r="X272" s="39"/>
      <c r="Y272" s="34"/>
      <c r="Z272" s="34"/>
      <c r="AC272" s="34"/>
      <c r="AE272" s="34"/>
      <c r="AF272" s="40"/>
      <c r="AG272" s="34"/>
      <c r="AH272" s="34"/>
      <c r="AI272" s="34"/>
      <c r="AJ272" s="34"/>
      <c r="AK272" s="34">
        <f>SUBTOTAL(9,Table1[[#This Row],[Up Next Priority]:[Campus]])</f>
        <v>0</v>
      </c>
      <c r="AL272" s="52"/>
      <c r="AM272" s="42"/>
      <c r="AN272" s="43"/>
      <c r="AO272" s="44"/>
      <c r="AP272" s="44"/>
      <c r="AQ272" s="44"/>
      <c r="AR272" s="44"/>
      <c r="AS272" s="51"/>
      <c r="AT272" s="44"/>
      <c r="AU272" s="66">
        <f>SUM(Table1[[#This Row],[Org Impact Score]:[Tools]])</f>
        <v>0</v>
      </c>
      <c r="AV272" s="45"/>
      <c r="AW272" s="34"/>
      <c r="AX272" s="34"/>
      <c r="AY272" s="34"/>
    </row>
    <row r="273" spans="1:51">
      <c r="A273" s="31" t="s">
        <v>1271</v>
      </c>
      <c r="B273" s="32" t="s">
        <v>195</v>
      </c>
      <c r="C273" s="32" t="b">
        <v>1</v>
      </c>
      <c r="D273" s="32" t="s">
        <v>1270</v>
      </c>
      <c r="E273" s="32" t="s">
        <v>890</v>
      </c>
      <c r="F273" s="32" t="s">
        <v>0</v>
      </c>
      <c r="G273" s="32" t="s">
        <v>911</v>
      </c>
      <c r="H273" s="65" t="s">
        <v>1272</v>
      </c>
      <c r="I273" s="33"/>
      <c r="J273" s="33"/>
      <c r="K273" s="33"/>
      <c r="L273" s="34"/>
      <c r="M273" s="6"/>
      <c r="N273" s="6"/>
      <c r="O273" s="6"/>
      <c r="P273" s="36"/>
      <c r="Q273" s="34"/>
      <c r="R273" s="34"/>
      <c r="S273" s="34"/>
      <c r="T273" s="37"/>
      <c r="U273" s="37"/>
      <c r="V273" s="38">
        <f>DATEDIF(Table1[[#This Row],[Sponsor*]],Table1[[#This Row],[Start Date*]],"d")</f>
        <v>0</v>
      </c>
      <c r="W273" s="62" t="e">
        <f>DATEDIF([1]!Table1[[#This Row],[Start Date*]],[1]!Table1[[#This Row],[End Date*]],"d")</f>
        <v>#VALUE!</v>
      </c>
      <c r="X273" s="39"/>
      <c r="Y273" s="34"/>
      <c r="Z273" s="34"/>
      <c r="AC273" s="34"/>
      <c r="AE273" s="34"/>
      <c r="AF273" s="40"/>
      <c r="AG273" s="34"/>
      <c r="AH273" s="34"/>
      <c r="AI273" s="34"/>
      <c r="AJ273" s="34"/>
      <c r="AK273" s="34">
        <f>SUBTOTAL(9,Table1[[#This Row],[Up Next Priority]:[Campus]])</f>
        <v>0</v>
      </c>
      <c r="AL273" s="52"/>
      <c r="AM273" s="42"/>
      <c r="AN273" s="43"/>
      <c r="AO273" s="44"/>
      <c r="AP273" s="44"/>
      <c r="AQ273" s="44"/>
      <c r="AR273" s="44"/>
      <c r="AS273" s="51"/>
      <c r="AT273" s="44"/>
      <c r="AU273" s="66">
        <f>SUM(Table1[[#This Row],[Org Impact Score]:[Tools]])</f>
        <v>0</v>
      </c>
      <c r="AV273" s="45"/>
      <c r="AW273" s="34"/>
      <c r="AX273" s="34"/>
      <c r="AY273" s="34"/>
    </row>
    <row r="274" spans="1:51">
      <c r="A274" s="31" t="s">
        <v>1268</v>
      </c>
      <c r="B274" s="32" t="s">
        <v>195</v>
      </c>
      <c r="C274" s="32" t="b">
        <v>1</v>
      </c>
      <c r="D274" s="32" t="s">
        <v>1267</v>
      </c>
      <c r="E274" s="32" t="s">
        <v>890</v>
      </c>
      <c r="F274" s="32" t="s">
        <v>0</v>
      </c>
      <c r="G274" s="32" t="s">
        <v>911</v>
      </c>
      <c r="H274" s="65" t="s">
        <v>1269</v>
      </c>
      <c r="I274" s="33"/>
      <c r="J274" s="33"/>
      <c r="K274" s="33"/>
      <c r="L274" s="34"/>
      <c r="M274" s="6"/>
      <c r="N274" s="6"/>
      <c r="O274" s="6"/>
      <c r="P274" s="36"/>
      <c r="Q274" s="34"/>
      <c r="R274" s="34"/>
      <c r="S274" s="34"/>
      <c r="T274" s="37"/>
      <c r="U274" s="37"/>
      <c r="V274" s="38">
        <f>DATEDIF(Table1[[#This Row],[Sponsor*]],Table1[[#This Row],[Start Date*]],"d")</f>
        <v>0</v>
      </c>
      <c r="W274" s="62" t="e">
        <f>DATEDIF([1]!Table1[[#This Row],[Start Date*]],[1]!Table1[[#This Row],[End Date*]],"d")</f>
        <v>#VALUE!</v>
      </c>
      <c r="X274" s="39"/>
      <c r="Y274" s="34"/>
      <c r="Z274" s="34"/>
      <c r="AC274" s="34"/>
      <c r="AE274" s="34"/>
      <c r="AF274" s="40"/>
      <c r="AG274" s="34"/>
      <c r="AH274" s="34"/>
      <c r="AI274" s="34"/>
      <c r="AJ274" s="34"/>
      <c r="AK274" s="34">
        <f>SUBTOTAL(9,Table1[[#This Row],[Up Next Priority]:[Campus]])</f>
        <v>0</v>
      </c>
      <c r="AL274" s="52"/>
      <c r="AM274" s="42"/>
      <c r="AN274" s="43"/>
      <c r="AO274" s="44"/>
      <c r="AP274" s="44"/>
      <c r="AQ274" s="44"/>
      <c r="AR274" s="44"/>
      <c r="AS274" s="51"/>
      <c r="AT274" s="44"/>
      <c r="AU274" s="66">
        <f>SUM(Table1[[#This Row],[Org Impact Score]:[Tools]])</f>
        <v>0</v>
      </c>
      <c r="AV274" s="45"/>
      <c r="AW274" s="34"/>
      <c r="AX274" s="34"/>
      <c r="AY274" s="34"/>
    </row>
    <row r="275" spans="1:51">
      <c r="A275" s="31" t="s">
        <v>1265</v>
      </c>
      <c r="B275" s="32" t="s">
        <v>195</v>
      </c>
      <c r="C275" s="32" t="b">
        <v>1</v>
      </c>
      <c r="D275" s="32" t="s">
        <v>1264</v>
      </c>
      <c r="E275" s="32" t="s">
        <v>890</v>
      </c>
      <c r="F275" s="32" t="s">
        <v>0</v>
      </c>
      <c r="G275" s="32"/>
      <c r="H275" s="65" t="s">
        <v>1266</v>
      </c>
      <c r="I275" s="33"/>
      <c r="J275" s="33"/>
      <c r="K275" s="33"/>
      <c r="L275" s="34"/>
      <c r="M275" s="6"/>
      <c r="N275" s="6"/>
      <c r="O275" s="6"/>
      <c r="P275" s="36"/>
      <c r="Q275" s="34"/>
      <c r="R275" s="34"/>
      <c r="S275" s="34"/>
      <c r="T275" s="37"/>
      <c r="U275" s="37"/>
      <c r="V275" s="38">
        <f>DATEDIF(Table1[[#This Row],[Sponsor*]],Table1[[#This Row],[Start Date*]],"d")</f>
        <v>0</v>
      </c>
      <c r="W275" s="62" t="e">
        <f>DATEDIF([1]!Table1[[#This Row],[Start Date*]],[1]!Table1[[#This Row],[End Date*]],"d")</f>
        <v>#VALUE!</v>
      </c>
      <c r="X275" s="39"/>
      <c r="Y275" s="34"/>
      <c r="Z275" s="34"/>
      <c r="AC275" s="34"/>
      <c r="AE275" s="34"/>
      <c r="AF275" s="40"/>
      <c r="AG275" s="34"/>
      <c r="AH275" s="34"/>
      <c r="AI275" s="34"/>
      <c r="AJ275" s="34"/>
      <c r="AK275" s="34">
        <f>SUBTOTAL(9,Table1[[#This Row],[Up Next Priority]:[Campus]])</f>
        <v>0</v>
      </c>
      <c r="AL275" s="52"/>
      <c r="AM275" s="42"/>
      <c r="AN275" s="43"/>
      <c r="AO275" s="44"/>
      <c r="AP275" s="44"/>
      <c r="AQ275" s="44"/>
      <c r="AR275" s="44"/>
      <c r="AS275" s="51"/>
      <c r="AT275" s="44"/>
      <c r="AU275" s="66">
        <f>SUM(Table1[[#This Row],[Org Impact Score]:[Tools]])</f>
        <v>0</v>
      </c>
      <c r="AV275" s="45"/>
      <c r="AW275" s="34"/>
      <c r="AX275" s="34"/>
      <c r="AY275" s="34"/>
    </row>
    <row r="276" spans="1:51">
      <c r="A276" s="31" t="s">
        <v>1262</v>
      </c>
      <c r="B276" s="32" t="s">
        <v>195</v>
      </c>
      <c r="C276" s="32" t="b">
        <v>1</v>
      </c>
      <c r="D276" s="32" t="s">
        <v>1261</v>
      </c>
      <c r="E276" s="32" t="s">
        <v>890</v>
      </c>
      <c r="F276" s="32" t="s">
        <v>1258</v>
      </c>
      <c r="G276" s="32"/>
      <c r="H276" s="65" t="s">
        <v>1263</v>
      </c>
      <c r="I276" s="33"/>
      <c r="J276" s="33"/>
      <c r="K276" s="33"/>
      <c r="L276" s="34"/>
      <c r="M276" s="6"/>
      <c r="N276" s="6"/>
      <c r="O276" s="6"/>
      <c r="P276" s="36"/>
      <c r="Q276" s="34"/>
      <c r="R276" s="34"/>
      <c r="S276" s="34"/>
      <c r="T276" s="37"/>
      <c r="U276" s="37"/>
      <c r="V276" s="38">
        <f>DATEDIF(Table1[[#This Row],[Sponsor*]],Table1[[#This Row],[Start Date*]],"d")</f>
        <v>0</v>
      </c>
      <c r="W276" s="62" t="e">
        <f>DATEDIF([1]!Table1[[#This Row],[Start Date*]],[1]!Table1[[#This Row],[End Date*]],"d")</f>
        <v>#VALUE!</v>
      </c>
      <c r="X276" s="39"/>
      <c r="Y276" s="34"/>
      <c r="Z276" s="34"/>
      <c r="AC276" s="34"/>
      <c r="AE276" s="34"/>
      <c r="AF276" s="40"/>
      <c r="AG276" s="34"/>
      <c r="AH276" s="34"/>
      <c r="AI276" s="34"/>
      <c r="AJ276" s="34"/>
      <c r="AK276" s="34">
        <f>SUBTOTAL(9,Table1[[#This Row],[Up Next Priority]:[Campus]])</f>
        <v>0</v>
      </c>
      <c r="AL276" s="52"/>
      <c r="AM276" s="42"/>
      <c r="AN276" s="43"/>
      <c r="AO276" s="44"/>
      <c r="AP276" s="44"/>
      <c r="AQ276" s="44"/>
      <c r="AR276" s="44"/>
      <c r="AS276" s="51"/>
      <c r="AT276" s="44"/>
      <c r="AU276" s="66">
        <f>SUM(Table1[[#This Row],[Org Impact Score]:[Tools]])</f>
        <v>0</v>
      </c>
      <c r="AV276" s="45"/>
      <c r="AW276" s="34"/>
      <c r="AX276" s="34"/>
      <c r="AY276" s="34"/>
    </row>
    <row r="277" spans="1:51">
      <c r="A277" s="31" t="s">
        <v>1259</v>
      </c>
      <c r="B277" s="32" t="s">
        <v>195</v>
      </c>
      <c r="C277" s="32" t="b">
        <v>1</v>
      </c>
      <c r="D277" s="32" t="s">
        <v>1257</v>
      </c>
      <c r="E277" s="32" t="s">
        <v>890</v>
      </c>
      <c r="F277" s="32" t="s">
        <v>1258</v>
      </c>
      <c r="G277" s="32"/>
      <c r="H277" s="65" t="s">
        <v>1260</v>
      </c>
      <c r="I277" s="33"/>
      <c r="J277" s="33"/>
      <c r="K277" s="33"/>
      <c r="L277" s="34"/>
      <c r="M277" s="6"/>
      <c r="N277" s="6"/>
      <c r="O277" s="6"/>
      <c r="P277" s="36"/>
      <c r="Q277" s="34"/>
      <c r="R277" s="34"/>
      <c r="S277" s="34"/>
      <c r="T277" s="37"/>
      <c r="U277" s="37"/>
      <c r="V277" s="38">
        <f>DATEDIF(Table1[[#This Row],[Sponsor*]],Table1[[#This Row],[Start Date*]],"d")</f>
        <v>0</v>
      </c>
      <c r="W277" s="62" t="e">
        <f>DATEDIF([1]!Table1[[#This Row],[Start Date*]],[1]!Table1[[#This Row],[End Date*]],"d")</f>
        <v>#VALUE!</v>
      </c>
      <c r="X277" s="39"/>
      <c r="Y277" s="34"/>
      <c r="Z277" s="34"/>
      <c r="AC277" s="34"/>
      <c r="AE277" s="34"/>
      <c r="AF277" s="40"/>
      <c r="AG277" s="34"/>
      <c r="AH277" s="34"/>
      <c r="AI277" s="34"/>
      <c r="AJ277" s="34"/>
      <c r="AK277" s="34">
        <f>SUBTOTAL(9,Table1[[#This Row],[Up Next Priority]:[Campus]])</f>
        <v>0</v>
      </c>
      <c r="AL277" s="52"/>
      <c r="AM277" s="42"/>
      <c r="AN277" s="43"/>
      <c r="AO277" s="44"/>
      <c r="AP277" s="44"/>
      <c r="AQ277" s="44"/>
      <c r="AR277" s="44"/>
      <c r="AS277" s="51"/>
      <c r="AT277" s="44"/>
      <c r="AU277" s="66">
        <f>SUM(Table1[[#This Row],[Org Impact Score]:[Tools]])</f>
        <v>0</v>
      </c>
      <c r="AV277" s="45"/>
      <c r="AW277" s="34"/>
      <c r="AX277" s="34"/>
      <c r="AY277" s="34"/>
    </row>
    <row r="278" spans="1:51">
      <c r="A278" s="31" t="s">
        <v>1150</v>
      </c>
      <c r="B278" s="32" t="s">
        <v>195</v>
      </c>
      <c r="C278" s="32" t="b">
        <v>0</v>
      </c>
      <c r="D278" s="32" t="s">
        <v>287</v>
      </c>
      <c r="E278" s="32" t="s">
        <v>890</v>
      </c>
      <c r="F278" s="32" t="s">
        <v>38</v>
      </c>
      <c r="G278" s="32" t="s">
        <v>905</v>
      </c>
      <c r="H278" s="65" t="s">
        <v>1151</v>
      </c>
      <c r="I278" s="33"/>
      <c r="J278" s="33"/>
      <c r="K278" s="33"/>
      <c r="L278" s="34"/>
      <c r="M278" s="6"/>
      <c r="N278" s="6"/>
      <c r="O278" s="6"/>
      <c r="P278" s="36"/>
      <c r="Q278" s="34"/>
      <c r="R278" s="34"/>
      <c r="S278" s="34"/>
      <c r="T278" s="37"/>
      <c r="U278" s="37"/>
      <c r="V278" s="38">
        <f>DATEDIF(Table1[[#This Row],[Sponsor*]],Table1[[#This Row],[Start Date*]],"d")</f>
        <v>0</v>
      </c>
      <c r="W278" s="62" t="e">
        <f>DATEDIF([1]!Table1[[#This Row],[Start Date*]],[1]!Table1[[#This Row],[End Date*]],"d")</f>
        <v>#VALUE!</v>
      </c>
      <c r="X278" s="39"/>
      <c r="Y278" s="34"/>
      <c r="Z278" s="34"/>
      <c r="AC278" s="34"/>
      <c r="AE278" s="34"/>
      <c r="AF278" s="40"/>
      <c r="AG278" s="34"/>
      <c r="AH278" s="34"/>
      <c r="AI278" s="34"/>
      <c r="AJ278" s="34"/>
      <c r="AK278" s="34">
        <f>SUBTOTAL(9,Table1[[#This Row],[Up Next Priority]:[Campus]])</f>
        <v>0</v>
      </c>
      <c r="AL278" s="52"/>
      <c r="AM278" s="42"/>
      <c r="AN278" s="43"/>
      <c r="AO278" s="44"/>
      <c r="AP278" s="44"/>
      <c r="AQ278" s="44"/>
      <c r="AR278" s="44"/>
      <c r="AS278" s="51"/>
      <c r="AT278" s="44"/>
      <c r="AU278" s="66">
        <f>SUM(Table1[[#This Row],[Org Impact Score]:[Tools]])</f>
        <v>0</v>
      </c>
      <c r="AV278" s="45"/>
      <c r="AW278" s="34"/>
      <c r="AX278" s="34"/>
      <c r="AY278" s="34"/>
    </row>
    <row r="279" spans="1:51">
      <c r="A279" s="31" t="s">
        <v>1255</v>
      </c>
      <c r="B279" s="32" t="s">
        <v>195</v>
      </c>
      <c r="C279" s="32" t="b">
        <v>1</v>
      </c>
      <c r="D279" s="32" t="s">
        <v>1254</v>
      </c>
      <c r="E279" s="32" t="s">
        <v>890</v>
      </c>
      <c r="F279" s="32" t="s">
        <v>38</v>
      </c>
      <c r="G279" s="32" t="s">
        <v>907</v>
      </c>
      <c r="H279" s="65" t="s">
        <v>1256</v>
      </c>
      <c r="I279" s="33"/>
      <c r="J279" s="33"/>
      <c r="K279" s="33"/>
      <c r="L279" s="34"/>
      <c r="M279" s="6"/>
      <c r="N279" s="6"/>
      <c r="O279" s="6"/>
      <c r="P279" s="36"/>
      <c r="Q279" s="34"/>
      <c r="R279" s="34"/>
      <c r="S279" s="34"/>
      <c r="T279" s="37"/>
      <c r="U279" s="37"/>
      <c r="V279" s="38">
        <f>DATEDIF(Table1[[#This Row],[Sponsor*]],Table1[[#This Row],[Start Date*]],"d")</f>
        <v>0</v>
      </c>
      <c r="W279" s="62" t="e">
        <f>DATEDIF([1]!Table1[[#This Row],[Start Date*]],[1]!Table1[[#This Row],[End Date*]],"d")</f>
        <v>#VALUE!</v>
      </c>
      <c r="X279" s="39"/>
      <c r="Y279" s="34"/>
      <c r="Z279" s="34"/>
      <c r="AC279" s="34"/>
      <c r="AE279" s="34"/>
      <c r="AF279" s="40"/>
      <c r="AG279" s="34"/>
      <c r="AH279" s="34"/>
      <c r="AI279" s="34"/>
      <c r="AJ279" s="34"/>
      <c r="AK279" s="34">
        <f>SUBTOTAL(9,Table1[[#This Row],[Up Next Priority]:[Campus]])</f>
        <v>0</v>
      </c>
      <c r="AL279" s="52"/>
      <c r="AM279" s="42"/>
      <c r="AN279" s="43"/>
      <c r="AO279" s="44"/>
      <c r="AP279" s="44"/>
      <c r="AQ279" s="44"/>
      <c r="AR279" s="44"/>
      <c r="AS279" s="51"/>
      <c r="AT279" s="44"/>
      <c r="AU279" s="66">
        <f>SUM(Table1[[#This Row],[Org Impact Score]:[Tools]])</f>
        <v>0</v>
      </c>
      <c r="AV279" s="45"/>
      <c r="AW279" s="34"/>
      <c r="AX279" s="34"/>
      <c r="AY279" s="34"/>
    </row>
    <row r="280" spans="1:51">
      <c r="A280" s="31" t="s">
        <v>1252</v>
      </c>
      <c r="B280" s="32" t="s">
        <v>195</v>
      </c>
      <c r="C280" s="32" t="b">
        <v>1</v>
      </c>
      <c r="D280" s="32" t="s">
        <v>1251</v>
      </c>
      <c r="E280" s="32" t="s">
        <v>890</v>
      </c>
      <c r="F280" s="32" t="s">
        <v>38</v>
      </c>
      <c r="G280" s="32" t="s">
        <v>909</v>
      </c>
      <c r="H280" s="65" t="s">
        <v>1253</v>
      </c>
      <c r="I280" s="33"/>
      <c r="J280" s="33"/>
      <c r="K280" s="33"/>
      <c r="L280" s="34"/>
      <c r="M280" s="6"/>
      <c r="N280" s="6"/>
      <c r="O280" s="6"/>
      <c r="P280" s="36"/>
      <c r="Q280" s="34"/>
      <c r="R280" s="34"/>
      <c r="S280" s="34"/>
      <c r="T280" s="37"/>
      <c r="U280" s="37"/>
      <c r="V280" s="38">
        <f>DATEDIF(Table1[[#This Row],[Sponsor*]],Table1[[#This Row],[Start Date*]],"d")</f>
        <v>0</v>
      </c>
      <c r="W280" s="62" t="e">
        <f>DATEDIF([1]!Table1[[#This Row],[Start Date*]],[1]!Table1[[#This Row],[End Date*]],"d")</f>
        <v>#VALUE!</v>
      </c>
      <c r="X280" s="39"/>
      <c r="Y280" s="34"/>
      <c r="Z280" s="34"/>
      <c r="AC280" s="34"/>
      <c r="AE280" s="34"/>
      <c r="AF280" s="40"/>
      <c r="AG280" s="34"/>
      <c r="AH280" s="34"/>
      <c r="AI280" s="34"/>
      <c r="AJ280" s="34"/>
      <c r="AK280" s="34">
        <f>SUBTOTAL(9,Table1[[#This Row],[Up Next Priority]:[Campus]])</f>
        <v>0</v>
      </c>
      <c r="AL280" s="52"/>
      <c r="AM280" s="42"/>
      <c r="AN280" s="43"/>
      <c r="AO280" s="44"/>
      <c r="AP280" s="44"/>
      <c r="AQ280" s="44"/>
      <c r="AR280" s="44"/>
      <c r="AS280" s="51"/>
      <c r="AT280" s="44"/>
      <c r="AU280" s="66">
        <f>SUM(Table1[[#This Row],[Org Impact Score]:[Tools]])</f>
        <v>0</v>
      </c>
      <c r="AV280" s="45"/>
      <c r="AW280" s="34"/>
      <c r="AX280" s="34"/>
      <c r="AY280" s="34"/>
    </row>
    <row r="281" spans="1:51">
      <c r="A281" s="31" t="s">
        <v>1249</v>
      </c>
      <c r="B281" s="32" t="s">
        <v>195</v>
      </c>
      <c r="C281" s="32" t="b">
        <v>1</v>
      </c>
      <c r="D281" s="32" t="s">
        <v>1248</v>
      </c>
      <c r="E281" s="32" t="s">
        <v>890</v>
      </c>
      <c r="F281" s="32" t="s">
        <v>38</v>
      </c>
      <c r="G281" s="32" t="s">
        <v>76</v>
      </c>
      <c r="H281" s="65" t="s">
        <v>1250</v>
      </c>
      <c r="I281" s="33"/>
      <c r="J281" s="33"/>
      <c r="K281" s="33"/>
      <c r="L281" s="34"/>
      <c r="M281" s="6"/>
      <c r="N281" s="6"/>
      <c r="O281" s="6"/>
      <c r="P281" s="36"/>
      <c r="Q281" s="34"/>
      <c r="R281" s="34"/>
      <c r="S281" s="34"/>
      <c r="T281" s="37"/>
      <c r="U281" s="37"/>
      <c r="V281" s="38">
        <f>DATEDIF(Table1[[#This Row],[Sponsor*]],Table1[[#This Row],[Start Date*]],"d")</f>
        <v>0</v>
      </c>
      <c r="W281" s="62" t="e">
        <f>DATEDIF([1]!Table1[[#This Row],[Start Date*]],[1]!Table1[[#This Row],[End Date*]],"d")</f>
        <v>#VALUE!</v>
      </c>
      <c r="X281" s="39"/>
      <c r="Y281" s="34"/>
      <c r="Z281" s="34"/>
      <c r="AC281" s="34"/>
      <c r="AE281" s="34"/>
      <c r="AF281" s="40"/>
      <c r="AG281" s="34"/>
      <c r="AH281" s="34"/>
      <c r="AI281" s="34"/>
      <c r="AJ281" s="34"/>
      <c r="AK281" s="34">
        <f>SUBTOTAL(9,Table1[[#This Row],[Up Next Priority]:[Campus]])</f>
        <v>0</v>
      </c>
      <c r="AL281" s="52"/>
      <c r="AM281" s="42"/>
      <c r="AN281" s="43"/>
      <c r="AO281" s="44"/>
      <c r="AP281" s="44"/>
      <c r="AQ281" s="44"/>
      <c r="AR281" s="44"/>
      <c r="AS281" s="51"/>
      <c r="AT281" s="44"/>
      <c r="AU281" s="66">
        <f>SUM(Table1[[#This Row],[Org Impact Score]:[Tools]])</f>
        <v>0</v>
      </c>
      <c r="AV281" s="45"/>
      <c r="AW281" s="34"/>
      <c r="AX281" s="34"/>
      <c r="AY281" s="34"/>
    </row>
    <row r="282" spans="1:51">
      <c r="A282" s="31" t="s">
        <v>1246</v>
      </c>
      <c r="B282" s="32" t="s">
        <v>195</v>
      </c>
      <c r="C282" s="32" t="b">
        <v>1</v>
      </c>
      <c r="D282" s="32" t="s">
        <v>1245</v>
      </c>
      <c r="E282" s="32" t="s">
        <v>890</v>
      </c>
      <c r="F282" s="32" t="s">
        <v>38</v>
      </c>
      <c r="G282" s="32" t="s">
        <v>76</v>
      </c>
      <c r="H282" s="65" t="s">
        <v>1247</v>
      </c>
      <c r="I282" s="33"/>
      <c r="J282" s="33"/>
      <c r="K282" s="33"/>
      <c r="L282" s="34"/>
      <c r="M282" s="6"/>
      <c r="N282" s="6"/>
      <c r="O282" s="6"/>
      <c r="P282" s="36"/>
      <c r="Q282" s="34"/>
      <c r="R282" s="34"/>
      <c r="S282" s="34"/>
      <c r="T282" s="37"/>
      <c r="U282" s="37"/>
      <c r="V282" s="38">
        <f>DATEDIF(Table1[[#This Row],[Sponsor*]],Table1[[#This Row],[Start Date*]],"d")</f>
        <v>0</v>
      </c>
      <c r="W282" s="62" t="e">
        <f>DATEDIF([1]!Table1[[#This Row],[Start Date*]],[1]!Table1[[#This Row],[End Date*]],"d")</f>
        <v>#VALUE!</v>
      </c>
      <c r="X282" s="39"/>
      <c r="Y282" s="34"/>
      <c r="Z282" s="34"/>
      <c r="AC282" s="34"/>
      <c r="AE282" s="34"/>
      <c r="AF282" s="40"/>
      <c r="AG282" s="34"/>
      <c r="AH282" s="34"/>
      <c r="AI282" s="34"/>
      <c r="AJ282" s="34"/>
      <c r="AK282" s="34">
        <f>SUBTOTAL(9,Table1[[#This Row],[Up Next Priority]:[Campus]])</f>
        <v>0</v>
      </c>
      <c r="AL282" s="52"/>
      <c r="AM282" s="42"/>
      <c r="AN282" s="43"/>
      <c r="AO282" s="44"/>
      <c r="AP282" s="44"/>
      <c r="AQ282" s="44"/>
      <c r="AR282" s="44"/>
      <c r="AS282" s="51"/>
      <c r="AT282" s="44"/>
      <c r="AU282" s="66">
        <f>SUM(Table1[[#This Row],[Org Impact Score]:[Tools]])</f>
        <v>0</v>
      </c>
      <c r="AV282" s="45"/>
      <c r="AW282" s="34"/>
      <c r="AX282" s="34"/>
      <c r="AY282" s="34"/>
    </row>
    <row r="283" spans="1:51">
      <c r="A283" s="31" t="s">
        <v>1243</v>
      </c>
      <c r="B283" s="32" t="s">
        <v>195</v>
      </c>
      <c r="C283" s="32" t="b">
        <v>1</v>
      </c>
      <c r="D283" s="32" t="s">
        <v>1242</v>
      </c>
      <c r="E283" s="32" t="s">
        <v>890</v>
      </c>
      <c r="F283" s="32" t="s">
        <v>38</v>
      </c>
      <c r="G283" s="32"/>
      <c r="H283" s="65" t="s">
        <v>1244</v>
      </c>
      <c r="I283" s="33"/>
      <c r="J283" s="33"/>
      <c r="K283" s="33"/>
      <c r="L283" s="34"/>
      <c r="M283" s="6"/>
      <c r="N283" s="6"/>
      <c r="O283" s="6"/>
      <c r="P283" s="36"/>
      <c r="Q283" s="34"/>
      <c r="R283" s="34"/>
      <c r="S283" s="34"/>
      <c r="T283" s="37"/>
      <c r="U283" s="37"/>
      <c r="V283" s="38">
        <f>DATEDIF(Table1[[#This Row],[Sponsor*]],Table1[[#This Row],[Start Date*]],"d")</f>
        <v>0</v>
      </c>
      <c r="W283" s="62" t="e">
        <f>DATEDIF([1]!Table1[[#This Row],[Start Date*]],[1]!Table1[[#This Row],[End Date*]],"d")</f>
        <v>#VALUE!</v>
      </c>
      <c r="X283" s="39"/>
      <c r="Y283" s="34"/>
      <c r="Z283" s="34"/>
      <c r="AC283" s="34"/>
      <c r="AE283" s="34"/>
      <c r="AF283" s="40"/>
      <c r="AG283" s="34"/>
      <c r="AH283" s="34"/>
      <c r="AI283" s="34"/>
      <c r="AJ283" s="34"/>
      <c r="AK283" s="34">
        <f>SUBTOTAL(9,Table1[[#This Row],[Up Next Priority]:[Campus]])</f>
        <v>0</v>
      </c>
      <c r="AL283" s="52"/>
      <c r="AM283" s="42"/>
      <c r="AN283" s="43"/>
      <c r="AO283" s="44"/>
      <c r="AP283" s="44"/>
      <c r="AQ283" s="44"/>
      <c r="AR283" s="44"/>
      <c r="AS283" s="51"/>
      <c r="AT283" s="44"/>
      <c r="AU283" s="66">
        <f>SUM(Table1[[#This Row],[Org Impact Score]:[Tools]])</f>
        <v>0</v>
      </c>
      <c r="AV283" s="45"/>
      <c r="AW283" s="34"/>
      <c r="AX283" s="34"/>
      <c r="AY283" s="34"/>
    </row>
    <row r="284" spans="1:51">
      <c r="A284" s="31" t="s">
        <v>1153</v>
      </c>
      <c r="B284" s="32" t="s">
        <v>195</v>
      </c>
      <c r="C284" s="32" t="b">
        <v>1</v>
      </c>
      <c r="D284" s="32" t="s">
        <v>1152</v>
      </c>
      <c r="E284" s="32" t="s">
        <v>890</v>
      </c>
      <c r="F284" s="32" t="s">
        <v>893</v>
      </c>
      <c r="G284" s="32"/>
      <c r="H284" s="65" t="s">
        <v>1154</v>
      </c>
      <c r="I284" s="33"/>
      <c r="J284" s="33"/>
      <c r="K284" s="33"/>
      <c r="L284" s="34"/>
      <c r="M284" s="6"/>
      <c r="N284" s="6"/>
      <c r="O284" s="6"/>
      <c r="P284" s="36"/>
      <c r="Q284" s="34"/>
      <c r="R284" s="34"/>
      <c r="S284" s="34"/>
      <c r="T284" s="37"/>
      <c r="U284" s="37"/>
      <c r="V284" s="38">
        <f>DATEDIF(Table1[[#This Row],[Sponsor*]],Table1[[#This Row],[Start Date*]],"d")</f>
        <v>0</v>
      </c>
      <c r="W284" s="62" t="e">
        <f>DATEDIF([1]!Table1[[#This Row],[Start Date*]],[1]!Table1[[#This Row],[End Date*]],"d")</f>
        <v>#VALUE!</v>
      </c>
      <c r="X284" s="39"/>
      <c r="Y284" s="34"/>
      <c r="Z284" s="34"/>
      <c r="AC284" s="34"/>
      <c r="AE284" s="34"/>
      <c r="AF284" s="40"/>
      <c r="AG284" s="34"/>
      <c r="AH284" s="34"/>
      <c r="AI284" s="34"/>
      <c r="AJ284" s="34"/>
      <c r="AK284" s="34">
        <f>SUBTOTAL(9,Table1[[#This Row],[Up Next Priority]:[Campus]])</f>
        <v>0</v>
      </c>
      <c r="AL284" s="52"/>
      <c r="AM284" s="42"/>
      <c r="AN284" s="43"/>
      <c r="AO284" s="44"/>
      <c r="AP284" s="44"/>
      <c r="AQ284" s="44"/>
      <c r="AR284" s="44"/>
      <c r="AS284" s="51"/>
      <c r="AT284" s="44"/>
      <c r="AU284" s="66">
        <f>SUM(Table1[[#This Row],[Org Impact Score]:[Tools]])</f>
        <v>0</v>
      </c>
      <c r="AV284" s="45"/>
      <c r="AW284" s="34"/>
      <c r="AX284" s="34"/>
      <c r="AY284" s="34"/>
    </row>
    <row r="285" spans="1:51">
      <c r="A285" s="31" t="s">
        <v>1164</v>
      </c>
      <c r="B285" s="32" t="s">
        <v>195</v>
      </c>
      <c r="C285" s="32" t="b">
        <v>0</v>
      </c>
      <c r="D285" s="32" t="s">
        <v>1163</v>
      </c>
      <c r="E285" s="32" t="s">
        <v>890</v>
      </c>
      <c r="F285" s="32" t="s">
        <v>893</v>
      </c>
      <c r="G285" s="32" t="s">
        <v>922</v>
      </c>
      <c r="H285" s="65" t="s">
        <v>1165</v>
      </c>
      <c r="I285" s="33"/>
      <c r="J285" s="33"/>
      <c r="K285" s="33"/>
      <c r="L285" s="34"/>
      <c r="M285" s="6"/>
      <c r="N285" s="6"/>
      <c r="O285" s="6"/>
      <c r="P285" s="36"/>
      <c r="Q285" s="34"/>
      <c r="R285" s="34"/>
      <c r="S285" s="34"/>
      <c r="T285" s="37"/>
      <c r="U285" s="37"/>
      <c r="V285" s="38">
        <f>DATEDIF(Table1[[#This Row],[Sponsor*]],Table1[[#This Row],[Start Date*]],"d")</f>
        <v>0</v>
      </c>
      <c r="W285" s="62" t="e">
        <f>DATEDIF([1]!Table1[[#This Row],[Start Date*]],[1]!Table1[[#This Row],[End Date*]],"d")</f>
        <v>#VALUE!</v>
      </c>
      <c r="X285" s="39"/>
      <c r="Y285" s="34"/>
      <c r="Z285" s="34"/>
      <c r="AC285" s="34"/>
      <c r="AE285" s="34"/>
      <c r="AF285" s="40"/>
      <c r="AG285" s="34"/>
      <c r="AH285" s="34"/>
      <c r="AI285" s="34"/>
      <c r="AJ285" s="34"/>
      <c r="AK285" s="34">
        <f>SUBTOTAL(9,Table1[[#This Row],[Up Next Priority]:[Campus]])</f>
        <v>0</v>
      </c>
      <c r="AL285" s="52"/>
      <c r="AM285" s="42"/>
      <c r="AN285" s="43"/>
      <c r="AO285" s="44"/>
      <c r="AP285" s="44"/>
      <c r="AQ285" s="44"/>
      <c r="AR285" s="44"/>
      <c r="AS285" s="51"/>
      <c r="AT285" s="44"/>
      <c r="AU285" s="66">
        <f>SUM(Table1[[#This Row],[Org Impact Score]:[Tools]])</f>
        <v>0</v>
      </c>
      <c r="AV285" s="45"/>
      <c r="AW285" s="34"/>
      <c r="AX285" s="34"/>
      <c r="AY285" s="34"/>
    </row>
    <row r="286" spans="1:51">
      <c r="A286" s="31" t="s">
        <v>1240</v>
      </c>
      <c r="B286" s="32" t="s">
        <v>195</v>
      </c>
      <c r="C286" s="32" t="b">
        <v>1</v>
      </c>
      <c r="D286" s="32" t="s">
        <v>1239</v>
      </c>
      <c r="E286" s="32" t="s">
        <v>890</v>
      </c>
      <c r="F286" s="32" t="s">
        <v>893</v>
      </c>
      <c r="G286" s="32" t="s">
        <v>924</v>
      </c>
      <c r="H286" s="65" t="s">
        <v>1241</v>
      </c>
      <c r="I286" s="33"/>
      <c r="J286" s="33"/>
      <c r="K286" s="33"/>
      <c r="L286" s="34"/>
      <c r="M286" s="6"/>
      <c r="N286" s="6"/>
      <c r="O286" s="6"/>
      <c r="P286" s="36"/>
      <c r="Q286" s="34"/>
      <c r="R286" s="34"/>
      <c r="S286" s="34"/>
      <c r="T286" s="37"/>
      <c r="U286" s="37"/>
      <c r="V286" s="38">
        <f>DATEDIF(Table1[[#This Row],[Sponsor*]],Table1[[#This Row],[Start Date*]],"d")</f>
        <v>0</v>
      </c>
      <c r="W286" s="62" t="e">
        <f>DATEDIF([1]!Table1[[#This Row],[Start Date*]],[1]!Table1[[#This Row],[End Date*]],"d")</f>
        <v>#VALUE!</v>
      </c>
      <c r="X286" s="39"/>
      <c r="Y286" s="34"/>
      <c r="Z286" s="34"/>
      <c r="AC286" s="34"/>
      <c r="AE286" s="34"/>
      <c r="AF286" s="40"/>
      <c r="AG286" s="34"/>
      <c r="AH286" s="34"/>
      <c r="AI286" s="34"/>
      <c r="AJ286" s="34"/>
      <c r="AK286" s="34">
        <f>SUBTOTAL(9,Table1[[#This Row],[Up Next Priority]:[Campus]])</f>
        <v>0</v>
      </c>
      <c r="AL286" s="52"/>
      <c r="AM286" s="42"/>
      <c r="AN286" s="43"/>
      <c r="AO286" s="44"/>
      <c r="AP286" s="44"/>
      <c r="AQ286" s="44"/>
      <c r="AR286" s="44"/>
      <c r="AS286" s="51"/>
      <c r="AT286" s="44"/>
      <c r="AU286" s="66">
        <f>SUM(Table1[[#This Row],[Org Impact Score]:[Tools]])</f>
        <v>0</v>
      </c>
      <c r="AV286" s="45"/>
      <c r="AW286" s="34"/>
      <c r="AX286" s="34"/>
      <c r="AY286" s="34"/>
    </row>
    <row r="287" spans="1:51">
      <c r="A287" s="31" t="s">
        <v>1237</v>
      </c>
      <c r="B287" s="32" t="s">
        <v>195</v>
      </c>
      <c r="C287" s="32" t="b">
        <v>1</v>
      </c>
      <c r="D287" s="32" t="s">
        <v>1236</v>
      </c>
      <c r="E287" s="32" t="s">
        <v>890</v>
      </c>
      <c r="F287" s="32" t="s">
        <v>893</v>
      </c>
      <c r="G287" s="32"/>
      <c r="H287" s="65" t="s">
        <v>1238</v>
      </c>
      <c r="I287" s="33"/>
      <c r="J287" s="33"/>
      <c r="K287" s="33"/>
      <c r="L287" s="34"/>
      <c r="M287" s="6"/>
      <c r="N287" s="6"/>
      <c r="O287" s="6"/>
      <c r="P287" s="36"/>
      <c r="Q287" s="34"/>
      <c r="R287" s="34"/>
      <c r="S287" s="34"/>
      <c r="T287" s="37"/>
      <c r="U287" s="37"/>
      <c r="V287" s="38">
        <f>DATEDIF(Table1[[#This Row],[Sponsor*]],Table1[[#This Row],[Start Date*]],"d")</f>
        <v>0</v>
      </c>
      <c r="W287" s="62" t="e">
        <f>DATEDIF([1]!Table1[[#This Row],[Start Date*]],[1]!Table1[[#This Row],[End Date*]],"d")</f>
        <v>#VALUE!</v>
      </c>
      <c r="X287" s="39"/>
      <c r="Y287" s="34"/>
      <c r="Z287" s="34"/>
      <c r="AC287" s="34"/>
      <c r="AE287" s="34"/>
      <c r="AF287" s="40"/>
      <c r="AG287" s="34"/>
      <c r="AH287" s="34"/>
      <c r="AI287" s="34"/>
      <c r="AJ287" s="34"/>
      <c r="AK287" s="34">
        <f>SUBTOTAL(9,Table1[[#This Row],[Up Next Priority]:[Campus]])</f>
        <v>0</v>
      </c>
      <c r="AL287" s="52"/>
      <c r="AM287" s="42"/>
      <c r="AN287" s="43"/>
      <c r="AO287" s="44"/>
      <c r="AP287" s="44"/>
      <c r="AQ287" s="44"/>
      <c r="AR287" s="44"/>
      <c r="AS287" s="51"/>
      <c r="AT287" s="44"/>
      <c r="AU287" s="66">
        <f>SUM(Table1[[#This Row],[Org Impact Score]:[Tools]])</f>
        <v>0</v>
      </c>
      <c r="AV287" s="45"/>
      <c r="AW287" s="34"/>
      <c r="AX287" s="34"/>
      <c r="AY287" s="34"/>
    </row>
    <row r="288" spans="1:51">
      <c r="A288" s="31" t="s">
        <v>1234</v>
      </c>
      <c r="B288" s="32" t="s">
        <v>195</v>
      </c>
      <c r="C288" s="32" t="b">
        <v>1</v>
      </c>
      <c r="D288" s="32" t="s">
        <v>1233</v>
      </c>
      <c r="E288" s="32" t="s">
        <v>890</v>
      </c>
      <c r="F288" s="32" t="s">
        <v>893</v>
      </c>
      <c r="G288" s="32"/>
      <c r="H288" s="65" t="s">
        <v>1235</v>
      </c>
      <c r="I288" s="33"/>
      <c r="J288" s="33"/>
      <c r="K288" s="33"/>
      <c r="L288" s="34"/>
      <c r="M288" s="6"/>
      <c r="N288" s="6"/>
      <c r="O288" s="6"/>
      <c r="P288" s="36"/>
      <c r="Q288" s="34"/>
      <c r="R288" s="34"/>
      <c r="S288" s="34"/>
      <c r="T288" s="37"/>
      <c r="U288" s="37"/>
      <c r="V288" s="38">
        <f>DATEDIF(Table1[[#This Row],[Sponsor*]],Table1[[#This Row],[Start Date*]],"d")</f>
        <v>0</v>
      </c>
      <c r="W288" s="62" t="e">
        <f>DATEDIF([1]!Table1[[#This Row],[Start Date*]],[1]!Table1[[#This Row],[End Date*]],"d")</f>
        <v>#VALUE!</v>
      </c>
      <c r="X288" s="39"/>
      <c r="Y288" s="34"/>
      <c r="Z288" s="34"/>
      <c r="AC288" s="34"/>
      <c r="AE288" s="34"/>
      <c r="AF288" s="40"/>
      <c r="AG288" s="34"/>
      <c r="AH288" s="34"/>
      <c r="AI288" s="34"/>
      <c r="AJ288" s="34"/>
      <c r="AK288" s="34">
        <f>SUBTOTAL(9,Table1[[#This Row],[Up Next Priority]:[Campus]])</f>
        <v>0</v>
      </c>
      <c r="AL288" s="52"/>
      <c r="AM288" s="42"/>
      <c r="AN288" s="43"/>
      <c r="AO288" s="44"/>
      <c r="AP288" s="44"/>
      <c r="AQ288" s="44"/>
      <c r="AR288" s="44"/>
      <c r="AS288" s="51"/>
      <c r="AT288" s="44"/>
      <c r="AU288" s="66">
        <f>SUM(Table1[[#This Row],[Org Impact Score]:[Tools]])</f>
        <v>0</v>
      </c>
      <c r="AV288" s="45"/>
      <c r="AW288" s="34"/>
      <c r="AX288" s="34"/>
      <c r="AY288" s="34"/>
    </row>
    <row r="289" spans="1:51">
      <c r="A289" s="31" t="s">
        <v>1231</v>
      </c>
      <c r="B289" s="32" t="s">
        <v>195</v>
      </c>
      <c r="C289" s="32" t="b">
        <v>1</v>
      </c>
      <c r="D289" s="32" t="s">
        <v>1230</v>
      </c>
      <c r="E289" s="32" t="s">
        <v>890</v>
      </c>
      <c r="F289" s="32" t="s">
        <v>893</v>
      </c>
      <c r="G289" s="32"/>
      <c r="H289" s="65" t="s">
        <v>1232</v>
      </c>
      <c r="I289" s="33"/>
      <c r="J289" s="33"/>
      <c r="K289" s="33"/>
      <c r="L289" s="34"/>
      <c r="M289" s="6"/>
      <c r="N289" s="6"/>
      <c r="O289" s="6"/>
      <c r="P289" s="36"/>
      <c r="Q289" s="34"/>
      <c r="R289" s="34"/>
      <c r="S289" s="34"/>
      <c r="T289" s="37"/>
      <c r="U289" s="37"/>
      <c r="V289" s="38">
        <f>DATEDIF(Table1[[#This Row],[Sponsor*]],Table1[[#This Row],[Start Date*]],"d")</f>
        <v>0</v>
      </c>
      <c r="W289" s="62" t="e">
        <f>DATEDIF([1]!Table1[[#This Row],[Start Date*]],[1]!Table1[[#This Row],[End Date*]],"d")</f>
        <v>#VALUE!</v>
      </c>
      <c r="X289" s="39"/>
      <c r="Y289" s="34"/>
      <c r="Z289" s="34"/>
      <c r="AC289" s="34"/>
      <c r="AE289" s="34"/>
      <c r="AF289" s="40"/>
      <c r="AG289" s="34"/>
      <c r="AH289" s="34"/>
      <c r="AI289" s="34"/>
      <c r="AJ289" s="34"/>
      <c r="AK289" s="34">
        <f>SUBTOTAL(9,Table1[[#This Row],[Up Next Priority]:[Campus]])</f>
        <v>0</v>
      </c>
      <c r="AL289" s="52"/>
      <c r="AM289" s="42"/>
      <c r="AN289" s="43"/>
      <c r="AO289" s="44"/>
      <c r="AP289" s="44"/>
      <c r="AQ289" s="44"/>
      <c r="AR289" s="44"/>
      <c r="AS289" s="51"/>
      <c r="AT289" s="44"/>
      <c r="AU289" s="66">
        <f>SUM(Table1[[#This Row],[Org Impact Score]:[Tools]])</f>
        <v>0</v>
      </c>
      <c r="AV289" s="45"/>
      <c r="AW289" s="34"/>
      <c r="AX289" s="34"/>
      <c r="AY289" s="34"/>
    </row>
    <row r="290" spans="1:51">
      <c r="A290" s="31" t="s">
        <v>458</v>
      </c>
      <c r="B290" s="32" t="s">
        <v>195</v>
      </c>
      <c r="C290" s="32" t="b">
        <v>0</v>
      </c>
      <c r="D290" s="32" t="s">
        <v>457</v>
      </c>
      <c r="E290" s="32" t="s">
        <v>890</v>
      </c>
      <c r="F290" s="32" t="s">
        <v>26</v>
      </c>
      <c r="G290" s="32" t="s">
        <v>913</v>
      </c>
      <c r="H290" s="65" t="s">
        <v>459</v>
      </c>
      <c r="I290" s="33"/>
      <c r="J290" s="33"/>
      <c r="K290" s="33"/>
      <c r="L290" s="34"/>
      <c r="M290" s="6"/>
      <c r="N290" s="6"/>
      <c r="O290" s="6"/>
      <c r="P290" s="36"/>
      <c r="Q290" s="34"/>
      <c r="R290" s="34"/>
      <c r="S290" s="34"/>
      <c r="T290" s="37"/>
      <c r="U290" s="37"/>
      <c r="V290" s="38">
        <f>DATEDIF(Table1[[#This Row],[Sponsor*]],Table1[[#This Row],[Start Date*]],"d")</f>
        <v>0</v>
      </c>
      <c r="W290" s="62" t="e">
        <f>DATEDIF([1]!Table1[[#This Row],[Start Date*]],[1]!Table1[[#This Row],[End Date*]],"d")</f>
        <v>#VALUE!</v>
      </c>
      <c r="X290" s="39"/>
      <c r="Y290" s="34"/>
      <c r="Z290" s="34"/>
      <c r="AC290" s="34"/>
      <c r="AE290" s="34"/>
      <c r="AF290" s="40"/>
      <c r="AG290" s="34"/>
      <c r="AH290" s="34"/>
      <c r="AI290" s="34"/>
      <c r="AJ290" s="34"/>
      <c r="AK290" s="34">
        <f>SUBTOTAL(9,Table1[[#This Row],[Up Next Priority]:[Campus]])</f>
        <v>0</v>
      </c>
      <c r="AL290" s="52"/>
      <c r="AM290" s="42"/>
      <c r="AN290" s="43"/>
      <c r="AO290" s="44"/>
      <c r="AP290" s="44"/>
      <c r="AQ290" s="44"/>
      <c r="AR290" s="44"/>
      <c r="AS290" s="51"/>
      <c r="AT290" s="44"/>
      <c r="AU290" s="66">
        <f>SUM(Table1[[#This Row],[Org Impact Score]:[Tools]])</f>
        <v>0</v>
      </c>
      <c r="AV290" s="45"/>
      <c r="AW290" s="34"/>
      <c r="AX290" s="34"/>
      <c r="AY290" s="34"/>
    </row>
    <row r="291" spans="1:51">
      <c r="A291" s="31" t="s">
        <v>1146</v>
      </c>
      <c r="B291" s="32" t="s">
        <v>195</v>
      </c>
      <c r="C291" s="32" t="b">
        <v>0</v>
      </c>
      <c r="D291" s="32" t="s">
        <v>450</v>
      </c>
      <c r="E291" s="32" t="s">
        <v>890</v>
      </c>
      <c r="F291" s="32" t="s">
        <v>26</v>
      </c>
      <c r="G291" s="32" t="s">
        <v>913</v>
      </c>
      <c r="H291" s="65" t="s">
        <v>1147</v>
      </c>
      <c r="I291" s="33"/>
      <c r="J291" s="33"/>
      <c r="K291" s="33"/>
      <c r="L291" s="34"/>
      <c r="M291" s="6"/>
      <c r="N291" s="6"/>
      <c r="O291" s="6"/>
      <c r="P291" s="36"/>
      <c r="Q291" s="34"/>
      <c r="R291" s="34"/>
      <c r="S291" s="34"/>
      <c r="T291" s="37"/>
      <c r="U291" s="37"/>
      <c r="V291" s="38">
        <f>DATEDIF(Table1[[#This Row],[Sponsor*]],Table1[[#This Row],[Start Date*]],"d")</f>
        <v>0</v>
      </c>
      <c r="W291" s="62" t="e">
        <f>DATEDIF([1]!Table1[[#This Row],[Start Date*]],[1]!Table1[[#This Row],[End Date*]],"d")</f>
        <v>#VALUE!</v>
      </c>
      <c r="X291" s="39"/>
      <c r="Y291" s="34"/>
      <c r="Z291" s="34"/>
      <c r="AC291" s="34"/>
      <c r="AE291" s="34"/>
      <c r="AF291" s="40"/>
      <c r="AG291" s="34"/>
      <c r="AH291" s="34"/>
      <c r="AI291" s="34"/>
      <c r="AJ291" s="34"/>
      <c r="AK291" s="34">
        <f>SUBTOTAL(9,Table1[[#This Row],[Up Next Priority]:[Campus]])</f>
        <v>0</v>
      </c>
      <c r="AL291" s="52"/>
      <c r="AM291" s="42"/>
      <c r="AN291" s="43"/>
      <c r="AO291" s="44"/>
      <c r="AP291" s="44"/>
      <c r="AQ291" s="44"/>
      <c r="AR291" s="44"/>
      <c r="AS291" s="51"/>
      <c r="AT291" s="44"/>
      <c r="AU291" s="66">
        <f>SUM(Table1[[#This Row],[Org Impact Score]:[Tools]])</f>
        <v>0</v>
      </c>
      <c r="AV291" s="45"/>
      <c r="AW291" s="34"/>
      <c r="AX291" s="34"/>
      <c r="AY291" s="34"/>
    </row>
    <row r="292" spans="1:51">
      <c r="A292" s="31" t="s">
        <v>444</v>
      </c>
      <c r="B292" s="32" t="s">
        <v>195</v>
      </c>
      <c r="C292" s="32" t="b">
        <v>0</v>
      </c>
      <c r="D292" s="32" t="s">
        <v>443</v>
      </c>
      <c r="E292" s="32" t="s">
        <v>890</v>
      </c>
      <c r="F292" s="32" t="s">
        <v>26</v>
      </c>
      <c r="G292" s="32" t="s">
        <v>913</v>
      </c>
      <c r="H292" s="65" t="s">
        <v>445</v>
      </c>
      <c r="I292" s="33"/>
      <c r="J292" s="33"/>
      <c r="K292" s="33"/>
      <c r="L292" s="34"/>
      <c r="M292" s="6"/>
      <c r="N292" s="6"/>
      <c r="O292" s="6"/>
      <c r="P292" s="36"/>
      <c r="Q292" s="34"/>
      <c r="R292" s="34"/>
      <c r="S292" s="34"/>
      <c r="T292" s="37"/>
      <c r="U292" s="37"/>
      <c r="V292" s="38">
        <f>DATEDIF(Table1[[#This Row],[Sponsor*]],Table1[[#This Row],[Start Date*]],"d")</f>
        <v>0</v>
      </c>
      <c r="W292" s="62" t="e">
        <f>DATEDIF([1]!Table1[[#This Row],[Start Date*]],[1]!Table1[[#This Row],[End Date*]],"d")</f>
        <v>#VALUE!</v>
      </c>
      <c r="X292" s="39"/>
      <c r="Y292" s="34"/>
      <c r="Z292" s="34"/>
      <c r="AC292" s="34"/>
      <c r="AE292" s="34"/>
      <c r="AF292" s="40"/>
      <c r="AG292" s="34"/>
      <c r="AH292" s="34"/>
      <c r="AI292" s="34"/>
      <c r="AJ292" s="34"/>
      <c r="AK292" s="34">
        <f>SUBTOTAL(9,Table1[[#This Row],[Up Next Priority]:[Campus]])</f>
        <v>0</v>
      </c>
      <c r="AL292" s="52"/>
      <c r="AM292" s="42"/>
      <c r="AN292" s="43"/>
      <c r="AO292" s="44"/>
      <c r="AP292" s="44"/>
      <c r="AQ292" s="44"/>
      <c r="AR292" s="44"/>
      <c r="AS292" s="51"/>
      <c r="AT292" s="44"/>
      <c r="AU292" s="66">
        <f>SUM(Table1[[#This Row],[Org Impact Score]:[Tools]])</f>
        <v>0</v>
      </c>
      <c r="AV292" s="45"/>
      <c r="AW292" s="34"/>
      <c r="AX292" s="34"/>
      <c r="AY292" s="34"/>
    </row>
    <row r="293" spans="1:51">
      <c r="A293" s="31" t="s">
        <v>1180</v>
      </c>
      <c r="B293" s="32" t="s">
        <v>195</v>
      </c>
      <c r="C293" s="32" t="b">
        <v>0</v>
      </c>
      <c r="D293" s="32" t="s">
        <v>442</v>
      </c>
      <c r="E293" s="32" t="s">
        <v>890</v>
      </c>
      <c r="F293" s="32" t="s">
        <v>26</v>
      </c>
      <c r="G293" s="32" t="s">
        <v>922</v>
      </c>
      <c r="H293" s="65" t="s">
        <v>1181</v>
      </c>
      <c r="I293" s="33"/>
      <c r="J293" s="33"/>
      <c r="K293" s="33"/>
      <c r="L293" s="34"/>
      <c r="M293" s="6"/>
      <c r="N293" s="6"/>
      <c r="O293" s="6"/>
      <c r="P293" s="36"/>
      <c r="Q293" s="34"/>
      <c r="R293" s="34"/>
      <c r="S293" s="34"/>
      <c r="T293" s="37"/>
      <c r="U293" s="37"/>
      <c r="V293" s="38">
        <f>DATEDIF(Table1[[#This Row],[Sponsor*]],Table1[[#This Row],[Start Date*]],"d")</f>
        <v>0</v>
      </c>
      <c r="W293" s="62" t="e">
        <f>DATEDIF([1]!Table1[[#This Row],[Start Date*]],[1]!Table1[[#This Row],[End Date*]],"d")</f>
        <v>#VALUE!</v>
      </c>
      <c r="X293" s="39"/>
      <c r="Y293" s="34"/>
      <c r="Z293" s="34"/>
      <c r="AC293" s="34"/>
      <c r="AE293" s="34"/>
      <c r="AF293" s="40"/>
      <c r="AG293" s="34"/>
      <c r="AH293" s="34"/>
      <c r="AI293" s="34"/>
      <c r="AJ293" s="34"/>
      <c r="AK293" s="34">
        <f>SUBTOTAL(9,Table1[[#This Row],[Up Next Priority]:[Campus]])</f>
        <v>0</v>
      </c>
      <c r="AL293" s="52"/>
      <c r="AM293" s="42"/>
      <c r="AN293" s="43"/>
      <c r="AO293" s="44"/>
      <c r="AP293" s="44"/>
      <c r="AQ293" s="44"/>
      <c r="AR293" s="44"/>
      <c r="AS293" s="51"/>
      <c r="AT293" s="44"/>
      <c r="AU293" s="66">
        <f>SUM(Table1[[#This Row],[Org Impact Score]:[Tools]])</f>
        <v>0</v>
      </c>
      <c r="AV293" s="45"/>
      <c r="AW293" s="34"/>
      <c r="AX293" s="34"/>
      <c r="AY293" s="34"/>
    </row>
    <row r="294" spans="1:51">
      <c r="A294" s="31" t="s">
        <v>436</v>
      </c>
      <c r="B294" s="32" t="s">
        <v>195</v>
      </c>
      <c r="C294" s="32" t="b">
        <v>0</v>
      </c>
      <c r="D294" s="32" t="s">
        <v>435</v>
      </c>
      <c r="E294" s="32" t="s">
        <v>890</v>
      </c>
      <c r="F294" s="32" t="s">
        <v>26</v>
      </c>
      <c r="G294" s="32" t="s">
        <v>922</v>
      </c>
      <c r="H294" s="65" t="s">
        <v>437</v>
      </c>
      <c r="I294" s="33"/>
      <c r="J294" s="33"/>
      <c r="K294" s="33"/>
      <c r="L294" s="34"/>
      <c r="M294" s="6"/>
      <c r="N294" s="6"/>
      <c r="O294" s="6"/>
      <c r="P294" s="36"/>
      <c r="Q294" s="34"/>
      <c r="R294" s="34"/>
      <c r="S294" s="34"/>
      <c r="T294" s="37"/>
      <c r="U294" s="37"/>
      <c r="V294" s="38">
        <f>DATEDIF(Table1[[#This Row],[Sponsor*]],Table1[[#This Row],[Start Date*]],"d")</f>
        <v>0</v>
      </c>
      <c r="W294" s="62" t="e">
        <f>DATEDIF([1]!Table1[[#This Row],[Start Date*]],[1]!Table1[[#This Row],[End Date*]],"d")</f>
        <v>#VALUE!</v>
      </c>
      <c r="X294" s="39"/>
      <c r="Y294" s="34"/>
      <c r="Z294" s="34"/>
      <c r="AC294" s="34"/>
      <c r="AE294" s="34"/>
      <c r="AF294" s="40"/>
      <c r="AG294" s="34"/>
      <c r="AH294" s="34"/>
      <c r="AI294" s="34"/>
      <c r="AJ294" s="34"/>
      <c r="AK294" s="34">
        <f>SUBTOTAL(9,Table1[[#This Row],[Up Next Priority]:[Campus]])</f>
        <v>0</v>
      </c>
      <c r="AL294" s="52"/>
      <c r="AM294" s="42"/>
      <c r="AN294" s="43"/>
      <c r="AO294" s="44"/>
      <c r="AP294" s="44"/>
      <c r="AQ294" s="44"/>
      <c r="AR294" s="44"/>
      <c r="AS294" s="51"/>
      <c r="AT294" s="44"/>
      <c r="AU294" s="66">
        <f>SUM(Table1[[#This Row],[Org Impact Score]:[Tools]])</f>
        <v>0</v>
      </c>
      <c r="AV294" s="45"/>
      <c r="AW294" s="34"/>
      <c r="AX294" s="34"/>
      <c r="AY294" s="34"/>
    </row>
    <row r="295" spans="1:51">
      <c r="A295" s="31" t="s">
        <v>1228</v>
      </c>
      <c r="B295" s="32" t="s">
        <v>195</v>
      </c>
      <c r="C295" s="32" t="b">
        <v>1</v>
      </c>
      <c r="D295" s="32" t="s">
        <v>1227</v>
      </c>
      <c r="E295" s="32" t="s">
        <v>890</v>
      </c>
      <c r="F295" s="32" t="s">
        <v>26</v>
      </c>
      <c r="G295" s="32" t="s">
        <v>922</v>
      </c>
      <c r="H295" s="65" t="s">
        <v>1229</v>
      </c>
      <c r="I295" s="33"/>
      <c r="J295" s="33"/>
      <c r="K295" s="33"/>
      <c r="L295" s="34"/>
      <c r="M295" s="6"/>
      <c r="N295" s="6"/>
      <c r="O295" s="6"/>
      <c r="P295" s="36"/>
      <c r="Q295" s="34"/>
      <c r="R295" s="34"/>
      <c r="S295" s="34"/>
      <c r="T295" s="37"/>
      <c r="U295" s="37"/>
      <c r="V295" s="38">
        <f>DATEDIF(Table1[[#This Row],[Sponsor*]],Table1[[#This Row],[Start Date*]],"d")</f>
        <v>0</v>
      </c>
      <c r="W295" s="62" t="e">
        <f>DATEDIF([1]!Table1[[#This Row],[Start Date*]],[1]!Table1[[#This Row],[End Date*]],"d")</f>
        <v>#VALUE!</v>
      </c>
      <c r="X295" s="39"/>
      <c r="Y295" s="34"/>
      <c r="Z295" s="34"/>
      <c r="AC295" s="34"/>
      <c r="AE295" s="34"/>
      <c r="AF295" s="40"/>
      <c r="AG295" s="34"/>
      <c r="AH295" s="34"/>
      <c r="AI295" s="34"/>
      <c r="AJ295" s="34"/>
      <c r="AK295" s="34">
        <f>SUBTOTAL(9,Table1[[#This Row],[Up Next Priority]:[Campus]])</f>
        <v>0</v>
      </c>
      <c r="AL295" s="52"/>
      <c r="AM295" s="42"/>
      <c r="AN295" s="43"/>
      <c r="AO295" s="44"/>
      <c r="AP295" s="44"/>
      <c r="AQ295" s="44"/>
      <c r="AR295" s="44"/>
      <c r="AS295" s="51"/>
      <c r="AT295" s="44"/>
      <c r="AU295" s="66">
        <f>SUM(Table1[[#This Row],[Org Impact Score]:[Tools]])</f>
        <v>0</v>
      </c>
      <c r="AV295" s="45"/>
      <c r="AW295" s="34"/>
      <c r="AX295" s="34"/>
      <c r="AY295" s="34"/>
    </row>
    <row r="296" spans="1:51">
      <c r="A296" s="31" t="s">
        <v>1225</v>
      </c>
      <c r="B296" s="32" t="s">
        <v>195</v>
      </c>
      <c r="C296" s="32" t="b">
        <v>1</v>
      </c>
      <c r="D296" s="32" t="s">
        <v>1224</v>
      </c>
      <c r="E296" s="32" t="s">
        <v>890</v>
      </c>
      <c r="F296" s="32" t="s">
        <v>26</v>
      </c>
      <c r="G296" s="32"/>
      <c r="H296" s="65" t="s">
        <v>1226</v>
      </c>
      <c r="I296" s="33"/>
      <c r="J296" s="33"/>
      <c r="K296" s="33"/>
      <c r="L296" s="34"/>
      <c r="M296" s="6"/>
      <c r="N296" s="6"/>
      <c r="O296" s="6"/>
      <c r="P296" s="36"/>
      <c r="Q296" s="34"/>
      <c r="R296" s="34"/>
      <c r="S296" s="34"/>
      <c r="T296" s="37"/>
      <c r="U296" s="37"/>
      <c r="V296" s="38">
        <f>DATEDIF(Table1[[#This Row],[Sponsor*]],Table1[[#This Row],[Start Date*]],"d")</f>
        <v>0</v>
      </c>
      <c r="W296" s="62" t="e">
        <f>DATEDIF([1]!Table1[[#This Row],[Start Date*]],[1]!Table1[[#This Row],[End Date*]],"d")</f>
        <v>#VALUE!</v>
      </c>
      <c r="X296" s="39"/>
      <c r="Y296" s="34"/>
      <c r="Z296" s="34"/>
      <c r="AC296" s="34"/>
      <c r="AE296" s="34"/>
      <c r="AF296" s="40"/>
      <c r="AG296" s="34"/>
      <c r="AH296" s="34"/>
      <c r="AI296" s="34"/>
      <c r="AJ296" s="34"/>
      <c r="AK296" s="34">
        <f>SUBTOTAL(9,Table1[[#This Row],[Up Next Priority]:[Campus]])</f>
        <v>0</v>
      </c>
      <c r="AL296" s="52"/>
      <c r="AM296" s="42"/>
      <c r="AN296" s="43"/>
      <c r="AO296" s="44"/>
      <c r="AP296" s="44"/>
      <c r="AQ296" s="44"/>
      <c r="AR296" s="44"/>
      <c r="AS296" s="51"/>
      <c r="AT296" s="44"/>
      <c r="AU296" s="66">
        <f>SUM(Table1[[#This Row],[Org Impact Score]:[Tools]])</f>
        <v>0</v>
      </c>
      <c r="AV296" s="45"/>
      <c r="AW296" s="34"/>
      <c r="AX296" s="34"/>
      <c r="AY296" s="34"/>
    </row>
    <row r="297" spans="1:51">
      <c r="A297" s="31" t="s">
        <v>1222</v>
      </c>
      <c r="B297" s="32" t="s">
        <v>195</v>
      </c>
      <c r="C297" s="32" t="b">
        <v>1</v>
      </c>
      <c r="D297" s="32" t="s">
        <v>1221</v>
      </c>
      <c r="E297" s="32" t="s">
        <v>890</v>
      </c>
      <c r="F297" s="32" t="s">
        <v>26</v>
      </c>
      <c r="G297" s="32" t="s">
        <v>81</v>
      </c>
      <c r="H297" s="65" t="s">
        <v>1223</v>
      </c>
      <c r="I297" s="33"/>
      <c r="J297" s="33"/>
      <c r="K297" s="33"/>
      <c r="L297" s="34"/>
      <c r="M297" s="6"/>
      <c r="N297" s="6"/>
      <c r="O297" s="6"/>
      <c r="P297" s="36"/>
      <c r="Q297" s="34"/>
      <c r="R297" s="34"/>
      <c r="S297" s="34"/>
      <c r="T297" s="37"/>
      <c r="U297" s="37"/>
      <c r="V297" s="38">
        <f>DATEDIF(Table1[[#This Row],[Sponsor*]],Table1[[#This Row],[Start Date*]],"d")</f>
        <v>0</v>
      </c>
      <c r="W297" s="62" t="e">
        <f>DATEDIF([1]!Table1[[#This Row],[Start Date*]],[1]!Table1[[#This Row],[End Date*]],"d")</f>
        <v>#VALUE!</v>
      </c>
      <c r="X297" s="39"/>
      <c r="Y297" s="34"/>
      <c r="Z297" s="34"/>
      <c r="AC297" s="34"/>
      <c r="AE297" s="34"/>
      <c r="AF297" s="40"/>
      <c r="AG297" s="34"/>
      <c r="AH297" s="34"/>
      <c r="AI297" s="34"/>
      <c r="AJ297" s="34"/>
      <c r="AK297" s="34">
        <f>SUBTOTAL(9,Table1[[#This Row],[Up Next Priority]:[Campus]])</f>
        <v>0</v>
      </c>
      <c r="AL297" s="52"/>
      <c r="AM297" s="42"/>
      <c r="AN297" s="43"/>
      <c r="AO297" s="44"/>
      <c r="AP297" s="44"/>
      <c r="AQ297" s="44"/>
      <c r="AR297" s="44"/>
      <c r="AS297" s="51"/>
      <c r="AT297" s="44"/>
      <c r="AU297" s="66">
        <f>SUM(Table1[[#This Row],[Org Impact Score]:[Tools]])</f>
        <v>0</v>
      </c>
      <c r="AV297" s="45"/>
      <c r="AW297" s="34"/>
      <c r="AX297" s="34"/>
      <c r="AY297" s="34"/>
    </row>
    <row r="298" spans="1:51">
      <c r="A298" s="31" t="s">
        <v>1219</v>
      </c>
      <c r="B298" s="32" t="s">
        <v>195</v>
      </c>
      <c r="C298" s="32" t="b">
        <v>1</v>
      </c>
      <c r="D298" s="32" t="s">
        <v>1218</v>
      </c>
      <c r="E298" s="32" t="s">
        <v>890</v>
      </c>
      <c r="F298" s="32" t="s">
        <v>26</v>
      </c>
      <c r="G298" s="32" t="s">
        <v>81</v>
      </c>
      <c r="H298" s="65" t="s">
        <v>1220</v>
      </c>
      <c r="I298" s="33"/>
      <c r="J298" s="33"/>
      <c r="K298" s="33"/>
      <c r="L298" s="34"/>
      <c r="M298" s="6"/>
      <c r="N298" s="6"/>
      <c r="O298" s="6"/>
      <c r="P298" s="36"/>
      <c r="Q298" s="34"/>
      <c r="R298" s="34"/>
      <c r="S298" s="34"/>
      <c r="T298" s="37"/>
      <c r="U298" s="37"/>
      <c r="V298" s="38">
        <f>DATEDIF(Table1[[#This Row],[Sponsor*]],Table1[[#This Row],[Start Date*]],"d")</f>
        <v>0</v>
      </c>
      <c r="W298" s="62" t="e">
        <f>DATEDIF([1]!Table1[[#This Row],[Start Date*]],[1]!Table1[[#This Row],[End Date*]],"d")</f>
        <v>#VALUE!</v>
      </c>
      <c r="X298" s="39"/>
      <c r="Y298" s="34"/>
      <c r="Z298" s="34"/>
      <c r="AC298" s="34"/>
      <c r="AE298" s="34"/>
      <c r="AF298" s="40"/>
      <c r="AG298" s="34"/>
      <c r="AH298" s="34"/>
      <c r="AI298" s="34"/>
      <c r="AJ298" s="34"/>
      <c r="AK298" s="34">
        <f>SUBTOTAL(9,Table1[[#This Row],[Up Next Priority]:[Campus]])</f>
        <v>0</v>
      </c>
      <c r="AL298" s="52"/>
      <c r="AM298" s="42"/>
      <c r="AN298" s="43"/>
      <c r="AO298" s="44"/>
      <c r="AP298" s="44"/>
      <c r="AQ298" s="44"/>
      <c r="AR298" s="44"/>
      <c r="AS298" s="51"/>
      <c r="AT298" s="44"/>
      <c r="AU298" s="66">
        <f>SUM(Table1[[#This Row],[Org Impact Score]:[Tools]])</f>
        <v>0</v>
      </c>
      <c r="AV298" s="45"/>
      <c r="AW298" s="34"/>
      <c r="AX298" s="34"/>
      <c r="AY298" s="34"/>
    </row>
    <row r="299" spans="1:51">
      <c r="A299" s="31" t="s">
        <v>1216</v>
      </c>
      <c r="B299" s="32" t="s">
        <v>195</v>
      </c>
      <c r="C299" s="32" t="b">
        <v>1</v>
      </c>
      <c r="D299" s="32" t="s">
        <v>1215</v>
      </c>
      <c r="E299" s="32" t="s">
        <v>890</v>
      </c>
      <c r="F299" s="32" t="s">
        <v>26</v>
      </c>
      <c r="G299" s="32" t="s">
        <v>913</v>
      </c>
      <c r="H299" s="65" t="s">
        <v>1217</v>
      </c>
      <c r="I299" s="33"/>
      <c r="J299" s="33"/>
      <c r="K299" s="33"/>
      <c r="L299" s="34"/>
      <c r="M299" s="6"/>
      <c r="N299" s="6"/>
      <c r="O299" s="6"/>
      <c r="P299" s="36"/>
      <c r="Q299" s="34"/>
      <c r="R299" s="34"/>
      <c r="S299" s="34"/>
      <c r="T299" s="37"/>
      <c r="U299" s="37"/>
      <c r="V299" s="38">
        <f>DATEDIF(Table1[[#This Row],[Sponsor*]],Table1[[#This Row],[Start Date*]],"d")</f>
        <v>0</v>
      </c>
      <c r="W299" s="62" t="e">
        <f>DATEDIF([1]!Table1[[#This Row],[Start Date*]],[1]!Table1[[#This Row],[End Date*]],"d")</f>
        <v>#VALUE!</v>
      </c>
      <c r="X299" s="39"/>
      <c r="Y299" s="34"/>
      <c r="Z299" s="34"/>
      <c r="AC299" s="34"/>
      <c r="AE299" s="34"/>
      <c r="AF299" s="40"/>
      <c r="AG299" s="34"/>
      <c r="AH299" s="34"/>
      <c r="AI299" s="34"/>
      <c r="AJ299" s="34"/>
      <c r="AK299" s="34">
        <f>SUBTOTAL(9,Table1[[#This Row],[Up Next Priority]:[Campus]])</f>
        <v>0</v>
      </c>
      <c r="AL299" s="52"/>
      <c r="AM299" s="42"/>
      <c r="AN299" s="43"/>
      <c r="AO299" s="44"/>
      <c r="AP299" s="44"/>
      <c r="AQ299" s="44"/>
      <c r="AR299" s="44"/>
      <c r="AS299" s="51"/>
      <c r="AT299" s="44"/>
      <c r="AU299" s="66">
        <f>SUM(Table1[[#This Row],[Org Impact Score]:[Tools]])</f>
        <v>0</v>
      </c>
      <c r="AV299" s="45"/>
      <c r="AW299" s="34"/>
      <c r="AX299" s="34"/>
      <c r="AY299" s="34"/>
    </row>
    <row r="300" spans="1:51">
      <c r="A300" s="31" t="s">
        <v>1213</v>
      </c>
      <c r="B300" s="32" t="s">
        <v>195</v>
      </c>
      <c r="C300" s="32" t="b">
        <v>1</v>
      </c>
      <c r="D300" s="32" t="s">
        <v>1212</v>
      </c>
      <c r="E300" s="32" t="s">
        <v>890</v>
      </c>
      <c r="F300" s="32" t="s">
        <v>26</v>
      </c>
      <c r="G300" s="32" t="s">
        <v>913</v>
      </c>
      <c r="H300" s="65" t="s">
        <v>1214</v>
      </c>
      <c r="I300" s="33"/>
      <c r="J300" s="33"/>
      <c r="K300" s="33"/>
      <c r="L300" s="34"/>
      <c r="M300" s="6"/>
      <c r="N300" s="6"/>
      <c r="O300" s="6"/>
      <c r="P300" s="36"/>
      <c r="Q300" s="34"/>
      <c r="R300" s="34"/>
      <c r="S300" s="34"/>
      <c r="T300" s="37"/>
      <c r="U300" s="37"/>
      <c r="V300" s="38">
        <f>DATEDIF(Table1[[#This Row],[Sponsor*]],Table1[[#This Row],[Start Date*]],"d")</f>
        <v>0</v>
      </c>
      <c r="W300" s="62" t="e">
        <f>DATEDIF([1]!Table1[[#This Row],[Start Date*]],[1]!Table1[[#This Row],[End Date*]],"d")</f>
        <v>#VALUE!</v>
      </c>
      <c r="X300" s="39"/>
      <c r="Y300" s="34"/>
      <c r="Z300" s="34"/>
      <c r="AC300" s="34"/>
      <c r="AE300" s="34"/>
      <c r="AF300" s="40"/>
      <c r="AG300" s="34"/>
      <c r="AH300" s="34"/>
      <c r="AI300" s="34"/>
      <c r="AJ300" s="34"/>
      <c r="AK300" s="34">
        <f>SUBTOTAL(9,Table1[[#This Row],[Up Next Priority]:[Campus]])</f>
        <v>0</v>
      </c>
      <c r="AL300" s="52"/>
      <c r="AM300" s="42"/>
      <c r="AN300" s="43"/>
      <c r="AO300" s="44"/>
      <c r="AP300" s="44"/>
      <c r="AQ300" s="44"/>
      <c r="AR300" s="44"/>
      <c r="AS300" s="51"/>
      <c r="AT300" s="44"/>
      <c r="AU300" s="66">
        <f>SUM(Table1[[#This Row],[Org Impact Score]:[Tools]])</f>
        <v>0</v>
      </c>
      <c r="AV300" s="45"/>
      <c r="AW300" s="34"/>
      <c r="AX300" s="34"/>
      <c r="AY300" s="34"/>
    </row>
    <row r="301" spans="1:51">
      <c r="A301" s="31" t="s">
        <v>1178</v>
      </c>
      <c r="B301" s="32" t="s">
        <v>195</v>
      </c>
      <c r="C301" s="32" t="b">
        <v>0</v>
      </c>
      <c r="D301" s="32" t="s">
        <v>1177</v>
      </c>
      <c r="E301" s="32" t="s">
        <v>890</v>
      </c>
      <c r="F301" s="32" t="s">
        <v>892</v>
      </c>
      <c r="G301" s="32" t="s">
        <v>913</v>
      </c>
      <c r="H301" s="65" t="s">
        <v>1179</v>
      </c>
      <c r="I301" s="33"/>
      <c r="J301" s="33"/>
      <c r="K301" s="33"/>
      <c r="L301" s="34"/>
      <c r="M301" s="6"/>
      <c r="N301" s="6"/>
      <c r="O301" s="6"/>
      <c r="P301" s="36"/>
      <c r="Q301" s="34"/>
      <c r="R301" s="34"/>
      <c r="S301" s="34"/>
      <c r="T301" s="37"/>
      <c r="U301" s="37"/>
      <c r="V301" s="38">
        <f>DATEDIF(Table1[[#This Row],[Sponsor*]],Table1[[#This Row],[Start Date*]],"d")</f>
        <v>0</v>
      </c>
      <c r="W301" s="62" t="e">
        <f>DATEDIF([1]!Table1[[#This Row],[Start Date*]],[1]!Table1[[#This Row],[End Date*]],"d")</f>
        <v>#VALUE!</v>
      </c>
      <c r="X301" s="39"/>
      <c r="Y301" s="34"/>
      <c r="Z301" s="34"/>
      <c r="AC301" s="34"/>
      <c r="AE301" s="34"/>
      <c r="AF301" s="40"/>
      <c r="AG301" s="34"/>
      <c r="AH301" s="34"/>
      <c r="AI301" s="34"/>
      <c r="AJ301" s="34"/>
      <c r="AK301" s="34">
        <f>SUBTOTAL(9,Table1[[#This Row],[Up Next Priority]:[Campus]])</f>
        <v>0</v>
      </c>
      <c r="AL301" s="52"/>
      <c r="AM301" s="42"/>
      <c r="AN301" s="43"/>
      <c r="AO301" s="44"/>
      <c r="AP301" s="44"/>
      <c r="AQ301" s="44"/>
      <c r="AR301" s="44"/>
      <c r="AS301" s="51"/>
      <c r="AT301" s="44"/>
      <c r="AU301" s="66">
        <f>SUM(Table1[[#This Row],[Org Impact Score]:[Tools]])</f>
        <v>0</v>
      </c>
      <c r="AV301" s="45"/>
      <c r="AW301" s="34"/>
      <c r="AX301" s="34"/>
      <c r="AY301" s="34"/>
    </row>
    <row r="302" spans="1:51">
      <c r="A302" s="31" t="s">
        <v>433</v>
      </c>
      <c r="B302" s="32" t="s">
        <v>195</v>
      </c>
      <c r="C302" s="32" t="b">
        <v>0</v>
      </c>
      <c r="D302" s="32" t="s">
        <v>432</v>
      </c>
      <c r="E302" s="32" t="s">
        <v>890</v>
      </c>
      <c r="F302" s="32" t="s">
        <v>892</v>
      </c>
      <c r="G302" s="32"/>
      <c r="H302" s="65" t="s">
        <v>434</v>
      </c>
      <c r="I302" s="33"/>
      <c r="J302" s="33"/>
      <c r="K302" s="33"/>
      <c r="L302" s="34"/>
      <c r="M302" s="6"/>
      <c r="N302" s="6"/>
      <c r="O302" s="6"/>
      <c r="P302" s="36"/>
      <c r="Q302" s="34"/>
      <c r="R302" s="34"/>
      <c r="S302" s="34"/>
      <c r="T302" s="37"/>
      <c r="U302" s="37"/>
      <c r="V302" s="38">
        <f>DATEDIF(Table1[[#This Row],[Sponsor*]],Table1[[#This Row],[Start Date*]],"d")</f>
        <v>0</v>
      </c>
      <c r="W302" s="62" t="e">
        <f>DATEDIF([1]!Table1[[#This Row],[Start Date*]],[1]!Table1[[#This Row],[End Date*]],"d")</f>
        <v>#VALUE!</v>
      </c>
      <c r="X302" s="39"/>
      <c r="Y302" s="34"/>
      <c r="Z302" s="34"/>
      <c r="AC302" s="34"/>
      <c r="AE302" s="34"/>
      <c r="AF302" s="40"/>
      <c r="AG302" s="34"/>
      <c r="AH302" s="34"/>
      <c r="AI302" s="34"/>
      <c r="AJ302" s="34"/>
      <c r="AK302" s="34">
        <f>SUBTOTAL(9,Table1[[#This Row],[Up Next Priority]:[Campus]])</f>
        <v>0</v>
      </c>
      <c r="AL302" s="52"/>
      <c r="AM302" s="42"/>
      <c r="AN302" s="43"/>
      <c r="AO302" s="44"/>
      <c r="AP302" s="44"/>
      <c r="AQ302" s="44"/>
      <c r="AR302" s="44"/>
      <c r="AS302" s="51"/>
      <c r="AT302" s="44"/>
      <c r="AU302" s="66">
        <f>SUM(Table1[[#This Row],[Org Impact Score]:[Tools]])</f>
        <v>0</v>
      </c>
      <c r="AV302" s="45"/>
      <c r="AW302" s="34"/>
      <c r="AX302" s="34"/>
      <c r="AY302" s="34"/>
    </row>
    <row r="303" spans="1:51">
      <c r="A303" s="31" t="s">
        <v>430</v>
      </c>
      <c r="B303" s="32" t="s">
        <v>195</v>
      </c>
      <c r="C303" s="32" t="b">
        <v>0</v>
      </c>
      <c r="D303" s="32" t="s">
        <v>429</v>
      </c>
      <c r="E303" s="32" t="s">
        <v>890</v>
      </c>
      <c r="F303" s="32" t="s">
        <v>892</v>
      </c>
      <c r="G303" s="32"/>
      <c r="H303" s="65" t="s">
        <v>431</v>
      </c>
      <c r="I303" s="33"/>
      <c r="J303" s="33"/>
      <c r="K303" s="33"/>
      <c r="L303" s="34"/>
      <c r="M303" s="6"/>
      <c r="N303" s="6"/>
      <c r="O303" s="6"/>
      <c r="P303" s="36"/>
      <c r="Q303" s="34"/>
      <c r="R303" s="34"/>
      <c r="S303" s="34"/>
      <c r="T303" s="37"/>
      <c r="U303" s="37"/>
      <c r="V303" s="38">
        <f>DATEDIF(Table1[[#This Row],[Sponsor*]],Table1[[#This Row],[Start Date*]],"d")</f>
        <v>0</v>
      </c>
      <c r="W303" s="62" t="e">
        <f>DATEDIF([1]!Table1[[#This Row],[Start Date*]],[1]!Table1[[#This Row],[End Date*]],"d")</f>
        <v>#VALUE!</v>
      </c>
      <c r="X303" s="39"/>
      <c r="Y303" s="34"/>
      <c r="Z303" s="34"/>
      <c r="AC303" s="34"/>
      <c r="AE303" s="34"/>
      <c r="AF303" s="40"/>
      <c r="AG303" s="34"/>
      <c r="AH303" s="34"/>
      <c r="AI303" s="34"/>
      <c r="AJ303" s="34"/>
      <c r="AK303" s="34">
        <f>SUBTOTAL(9,Table1[[#This Row],[Up Next Priority]:[Campus]])</f>
        <v>0</v>
      </c>
      <c r="AL303" s="52"/>
      <c r="AM303" s="42"/>
      <c r="AN303" s="43"/>
      <c r="AO303" s="44"/>
      <c r="AP303" s="44"/>
      <c r="AQ303" s="44"/>
      <c r="AR303" s="44"/>
      <c r="AS303" s="51"/>
      <c r="AT303" s="44"/>
      <c r="AU303" s="66">
        <f>SUM(Table1[[#This Row],[Org Impact Score]:[Tools]])</f>
        <v>0</v>
      </c>
      <c r="AV303" s="45"/>
      <c r="AW303" s="34"/>
      <c r="AX303" s="34"/>
      <c r="AY303" s="34"/>
    </row>
    <row r="304" spans="1:51">
      <c r="A304" s="31" t="s">
        <v>427</v>
      </c>
      <c r="B304" s="32" t="s">
        <v>195</v>
      </c>
      <c r="C304" s="32" t="b">
        <v>0</v>
      </c>
      <c r="D304" s="32" t="s">
        <v>426</v>
      </c>
      <c r="E304" s="32" t="s">
        <v>890</v>
      </c>
      <c r="F304" s="32" t="s">
        <v>892</v>
      </c>
      <c r="G304" s="32"/>
      <c r="H304" s="65" t="s">
        <v>428</v>
      </c>
      <c r="I304" s="33"/>
      <c r="J304" s="33"/>
      <c r="K304" s="33"/>
      <c r="L304" s="34"/>
      <c r="M304" s="6"/>
      <c r="N304" s="6"/>
      <c r="O304" s="6"/>
      <c r="P304" s="36"/>
      <c r="Q304" s="34"/>
      <c r="R304" s="34"/>
      <c r="S304" s="34"/>
      <c r="T304" s="37"/>
      <c r="U304" s="37"/>
      <c r="V304" s="38">
        <f>DATEDIF(Table1[[#This Row],[Sponsor*]],Table1[[#This Row],[Start Date*]],"d")</f>
        <v>0</v>
      </c>
      <c r="W304" s="62" t="e">
        <f>DATEDIF([1]!Table1[[#This Row],[Start Date*]],[1]!Table1[[#This Row],[End Date*]],"d")</f>
        <v>#VALUE!</v>
      </c>
      <c r="X304" s="39"/>
      <c r="Y304" s="34"/>
      <c r="Z304" s="34"/>
      <c r="AC304" s="34"/>
      <c r="AE304" s="34"/>
      <c r="AF304" s="40"/>
      <c r="AG304" s="34"/>
      <c r="AH304" s="34"/>
      <c r="AI304" s="34"/>
      <c r="AJ304" s="34"/>
      <c r="AK304" s="34">
        <f>SUBTOTAL(9,Table1[[#This Row],[Up Next Priority]:[Campus]])</f>
        <v>0</v>
      </c>
      <c r="AL304" s="52"/>
      <c r="AM304" s="42"/>
      <c r="AN304" s="43"/>
      <c r="AO304" s="44"/>
      <c r="AP304" s="44"/>
      <c r="AQ304" s="44"/>
      <c r="AR304" s="44"/>
      <c r="AS304" s="51"/>
      <c r="AT304" s="44"/>
      <c r="AU304" s="66">
        <f>SUM(Table1[[#This Row],[Org Impact Score]:[Tools]])</f>
        <v>0</v>
      </c>
      <c r="AV304" s="45"/>
      <c r="AW304" s="34"/>
      <c r="AX304" s="34"/>
      <c r="AY304" s="34"/>
    </row>
    <row r="305" spans="1:51">
      <c r="A305" s="31" t="s">
        <v>424</v>
      </c>
      <c r="B305" s="32" t="s">
        <v>195</v>
      </c>
      <c r="C305" s="32" t="b">
        <v>0</v>
      </c>
      <c r="D305" s="32" t="s">
        <v>423</v>
      </c>
      <c r="E305" s="32" t="s">
        <v>890</v>
      </c>
      <c r="F305" s="32" t="s">
        <v>892</v>
      </c>
      <c r="G305" s="32"/>
      <c r="H305" s="65" t="s">
        <v>425</v>
      </c>
      <c r="I305" s="33"/>
      <c r="J305" s="33"/>
      <c r="K305" s="33"/>
      <c r="L305" s="34"/>
      <c r="M305" s="6"/>
      <c r="N305" s="6"/>
      <c r="O305" s="6"/>
      <c r="P305" s="36"/>
      <c r="Q305" s="34"/>
      <c r="R305" s="34"/>
      <c r="S305" s="34"/>
      <c r="T305" s="37"/>
      <c r="U305" s="37"/>
      <c r="V305" s="38">
        <f>DATEDIF(Table1[[#This Row],[Sponsor*]],Table1[[#This Row],[Start Date*]],"d")</f>
        <v>0</v>
      </c>
      <c r="W305" s="62" t="e">
        <f>DATEDIF([1]!Table1[[#This Row],[Start Date*]],[1]!Table1[[#This Row],[End Date*]],"d")</f>
        <v>#VALUE!</v>
      </c>
      <c r="X305" s="39"/>
      <c r="Y305" s="34"/>
      <c r="Z305" s="34"/>
      <c r="AC305" s="34"/>
      <c r="AE305" s="34"/>
      <c r="AF305" s="40"/>
      <c r="AG305" s="34"/>
      <c r="AH305" s="34"/>
      <c r="AI305" s="34"/>
      <c r="AJ305" s="34"/>
      <c r="AK305" s="34">
        <f>SUBTOTAL(9,Table1[[#This Row],[Up Next Priority]:[Campus]])</f>
        <v>0</v>
      </c>
      <c r="AL305" s="52"/>
      <c r="AM305" s="42"/>
      <c r="AN305" s="43"/>
      <c r="AO305" s="44"/>
      <c r="AP305" s="44"/>
      <c r="AQ305" s="44"/>
      <c r="AR305" s="44"/>
      <c r="AS305" s="51"/>
      <c r="AT305" s="44"/>
      <c r="AU305" s="66">
        <f>SUM(Table1[[#This Row],[Org Impact Score]:[Tools]])</f>
        <v>0</v>
      </c>
      <c r="AV305" s="45"/>
      <c r="AW305" s="34"/>
      <c r="AX305" s="34"/>
      <c r="AY305" s="34"/>
    </row>
    <row r="306" spans="1:51">
      <c r="A306" s="31" t="s">
        <v>421</v>
      </c>
      <c r="B306" s="32" t="s">
        <v>195</v>
      </c>
      <c r="C306" s="32" t="b">
        <v>0</v>
      </c>
      <c r="D306" s="32" t="s">
        <v>420</v>
      </c>
      <c r="E306" s="32" t="s">
        <v>890</v>
      </c>
      <c r="F306" s="32" t="s">
        <v>892</v>
      </c>
      <c r="G306" s="32"/>
      <c r="H306" s="65" t="s">
        <v>422</v>
      </c>
      <c r="I306" s="33"/>
      <c r="J306" s="33"/>
      <c r="K306" s="33"/>
      <c r="L306" s="34"/>
      <c r="M306" s="6"/>
      <c r="N306" s="6"/>
      <c r="O306" s="6"/>
      <c r="P306" s="36"/>
      <c r="Q306" s="34"/>
      <c r="R306" s="34"/>
      <c r="S306" s="34"/>
      <c r="T306" s="37"/>
      <c r="U306" s="37"/>
      <c r="V306" s="38">
        <f>DATEDIF(Table1[[#This Row],[Sponsor*]],Table1[[#This Row],[Start Date*]],"d")</f>
        <v>0</v>
      </c>
      <c r="W306" s="62" t="e">
        <f>DATEDIF([1]!Table1[[#This Row],[Start Date*]],[1]!Table1[[#This Row],[End Date*]],"d")</f>
        <v>#VALUE!</v>
      </c>
      <c r="X306" s="39"/>
      <c r="Y306" s="34"/>
      <c r="Z306" s="34"/>
      <c r="AC306" s="34"/>
      <c r="AE306" s="34"/>
      <c r="AF306" s="40"/>
      <c r="AG306" s="34"/>
      <c r="AH306" s="34"/>
      <c r="AI306" s="34"/>
      <c r="AJ306" s="34"/>
      <c r="AK306" s="34">
        <f>SUBTOTAL(9,Table1[[#This Row],[Up Next Priority]:[Campus]])</f>
        <v>0</v>
      </c>
      <c r="AL306" s="52"/>
      <c r="AM306" s="42"/>
      <c r="AN306" s="43"/>
      <c r="AO306" s="44"/>
      <c r="AP306" s="44"/>
      <c r="AQ306" s="44"/>
      <c r="AR306" s="44"/>
      <c r="AS306" s="51"/>
      <c r="AT306" s="44"/>
      <c r="AU306" s="66">
        <f>SUM(Table1[[#This Row],[Org Impact Score]:[Tools]])</f>
        <v>0</v>
      </c>
      <c r="AV306" s="45"/>
      <c r="AW306" s="34"/>
      <c r="AX306" s="34"/>
      <c r="AY306" s="34"/>
    </row>
    <row r="307" spans="1:51">
      <c r="A307" s="31" t="s">
        <v>418</v>
      </c>
      <c r="B307" s="32" t="s">
        <v>195</v>
      </c>
      <c r="C307" s="32" t="b">
        <v>0</v>
      </c>
      <c r="D307" s="32" t="s">
        <v>417</v>
      </c>
      <c r="E307" s="32" t="s">
        <v>890</v>
      </c>
      <c r="F307" s="32" t="s">
        <v>892</v>
      </c>
      <c r="G307" s="32"/>
      <c r="H307" s="65" t="s">
        <v>419</v>
      </c>
      <c r="I307" s="33"/>
      <c r="J307" s="33"/>
      <c r="K307" s="33"/>
      <c r="L307" s="34"/>
      <c r="M307" s="6"/>
      <c r="N307" s="6"/>
      <c r="O307" s="6"/>
      <c r="P307" s="36"/>
      <c r="Q307" s="34"/>
      <c r="R307" s="34"/>
      <c r="S307" s="34"/>
      <c r="T307" s="37"/>
      <c r="U307" s="37"/>
      <c r="V307" s="38">
        <f>DATEDIF(Table1[[#This Row],[Sponsor*]],Table1[[#This Row],[Start Date*]],"d")</f>
        <v>0</v>
      </c>
      <c r="W307" s="62" t="e">
        <f>DATEDIF([1]!Table1[[#This Row],[Start Date*]],[1]!Table1[[#This Row],[End Date*]],"d")</f>
        <v>#VALUE!</v>
      </c>
      <c r="X307" s="39"/>
      <c r="Y307" s="34"/>
      <c r="Z307" s="34"/>
      <c r="AC307" s="34"/>
      <c r="AE307" s="34"/>
      <c r="AF307" s="40"/>
      <c r="AG307" s="34"/>
      <c r="AH307" s="34"/>
      <c r="AI307" s="34"/>
      <c r="AJ307" s="34"/>
      <c r="AK307" s="34">
        <f>SUBTOTAL(9,Table1[[#This Row],[Up Next Priority]:[Campus]])</f>
        <v>0</v>
      </c>
      <c r="AL307" s="52"/>
      <c r="AM307" s="42"/>
      <c r="AN307" s="43"/>
      <c r="AO307" s="44"/>
      <c r="AP307" s="44"/>
      <c r="AQ307" s="44"/>
      <c r="AR307" s="44"/>
      <c r="AS307" s="51"/>
      <c r="AT307" s="44"/>
      <c r="AU307" s="66">
        <f>SUM(Table1[[#This Row],[Org Impact Score]:[Tools]])</f>
        <v>0</v>
      </c>
      <c r="AV307" s="45"/>
      <c r="AW307" s="34"/>
      <c r="AX307" s="34"/>
      <c r="AY307" s="34"/>
    </row>
    <row r="308" spans="1:51">
      <c r="A308" s="31" t="s">
        <v>415</v>
      </c>
      <c r="B308" s="32" t="s">
        <v>195</v>
      </c>
      <c r="C308" s="32" t="b">
        <v>0</v>
      </c>
      <c r="D308" s="32" t="s">
        <v>414</v>
      </c>
      <c r="E308" s="32" t="s">
        <v>890</v>
      </c>
      <c r="F308" s="32" t="s">
        <v>892</v>
      </c>
      <c r="G308" s="32"/>
      <c r="H308" s="65" t="s">
        <v>416</v>
      </c>
      <c r="I308" s="33"/>
      <c r="J308" s="33"/>
      <c r="K308" s="33"/>
      <c r="L308" s="34"/>
      <c r="M308" s="6"/>
      <c r="N308" s="6"/>
      <c r="O308" s="6"/>
      <c r="P308" s="36"/>
      <c r="Q308" s="34"/>
      <c r="R308" s="34"/>
      <c r="S308" s="34"/>
      <c r="T308" s="37"/>
      <c r="U308" s="37"/>
      <c r="V308" s="38">
        <f>DATEDIF(Table1[[#This Row],[Sponsor*]],Table1[[#This Row],[Start Date*]],"d")</f>
        <v>0</v>
      </c>
      <c r="W308" s="62" t="e">
        <f>DATEDIF([1]!Table1[[#This Row],[Start Date*]],[1]!Table1[[#This Row],[End Date*]],"d")</f>
        <v>#VALUE!</v>
      </c>
      <c r="X308" s="39"/>
      <c r="Y308" s="34"/>
      <c r="Z308" s="34"/>
      <c r="AC308" s="34"/>
      <c r="AE308" s="34"/>
      <c r="AF308" s="40"/>
      <c r="AG308" s="34"/>
      <c r="AH308" s="34"/>
      <c r="AI308" s="34"/>
      <c r="AJ308" s="34"/>
      <c r="AK308" s="34">
        <f>SUBTOTAL(9,Table1[[#This Row],[Up Next Priority]:[Campus]])</f>
        <v>0</v>
      </c>
      <c r="AL308" s="52"/>
      <c r="AM308" s="42"/>
      <c r="AN308" s="43"/>
      <c r="AO308" s="44"/>
      <c r="AP308" s="44"/>
      <c r="AQ308" s="44"/>
      <c r="AR308" s="44"/>
      <c r="AS308" s="51"/>
      <c r="AT308" s="44"/>
      <c r="AU308" s="66">
        <f>SUM(Table1[[#This Row],[Org Impact Score]:[Tools]])</f>
        <v>0</v>
      </c>
      <c r="AV308" s="45"/>
      <c r="AW308" s="34"/>
      <c r="AX308" s="34"/>
      <c r="AY308" s="34"/>
    </row>
    <row r="309" spans="1:51">
      <c r="A309" s="31" t="s">
        <v>412</v>
      </c>
      <c r="B309" s="32" t="s">
        <v>195</v>
      </c>
      <c r="C309" s="32" t="b">
        <v>0</v>
      </c>
      <c r="D309" s="32" t="s">
        <v>411</v>
      </c>
      <c r="E309" s="32" t="s">
        <v>890</v>
      </c>
      <c r="F309" s="32" t="s">
        <v>892</v>
      </c>
      <c r="G309" s="32"/>
      <c r="H309" s="65" t="s">
        <v>413</v>
      </c>
      <c r="I309" s="33"/>
      <c r="J309" s="33"/>
      <c r="K309" s="33"/>
      <c r="L309" s="34"/>
      <c r="M309" s="6"/>
      <c r="N309" s="6"/>
      <c r="O309" s="6"/>
      <c r="P309" s="36"/>
      <c r="Q309" s="34"/>
      <c r="R309" s="34"/>
      <c r="S309" s="34"/>
      <c r="T309" s="37"/>
      <c r="U309" s="37"/>
      <c r="V309" s="38">
        <f>DATEDIF(Table1[[#This Row],[Sponsor*]],Table1[[#This Row],[Start Date*]],"d")</f>
        <v>0</v>
      </c>
      <c r="W309" s="62" t="e">
        <f>DATEDIF([1]!Table1[[#This Row],[Start Date*]],[1]!Table1[[#This Row],[End Date*]],"d")</f>
        <v>#VALUE!</v>
      </c>
      <c r="X309" s="39"/>
      <c r="Y309" s="34"/>
      <c r="Z309" s="34"/>
      <c r="AC309" s="34"/>
      <c r="AE309" s="34"/>
      <c r="AF309" s="40"/>
      <c r="AG309" s="34"/>
      <c r="AH309" s="34"/>
      <c r="AI309" s="34"/>
      <c r="AJ309" s="34"/>
      <c r="AK309" s="34">
        <f>SUBTOTAL(9,Table1[[#This Row],[Up Next Priority]:[Campus]])</f>
        <v>0</v>
      </c>
      <c r="AL309" s="52"/>
      <c r="AM309" s="42"/>
      <c r="AN309" s="43"/>
      <c r="AO309" s="44"/>
      <c r="AP309" s="44"/>
      <c r="AQ309" s="44"/>
      <c r="AR309" s="44"/>
      <c r="AS309" s="51"/>
      <c r="AT309" s="44"/>
      <c r="AU309" s="66">
        <f>SUM(Table1[[#This Row],[Org Impact Score]:[Tools]])</f>
        <v>0</v>
      </c>
      <c r="AV309" s="45"/>
      <c r="AW309" s="34"/>
      <c r="AX309" s="34"/>
      <c r="AY309" s="34"/>
    </row>
    <row r="310" spans="1:51">
      <c r="A310" s="31" t="s">
        <v>409</v>
      </c>
      <c r="B310" s="32" t="s">
        <v>195</v>
      </c>
      <c r="C310" s="32" t="b">
        <v>0</v>
      </c>
      <c r="D310" s="32" t="s">
        <v>408</v>
      </c>
      <c r="E310" s="32" t="s">
        <v>890</v>
      </c>
      <c r="F310" s="32" t="s">
        <v>892</v>
      </c>
      <c r="G310" s="32"/>
      <c r="H310" s="65" t="s">
        <v>410</v>
      </c>
      <c r="I310" s="33"/>
      <c r="J310" s="33"/>
      <c r="K310" s="33"/>
      <c r="L310" s="34"/>
      <c r="M310" s="6"/>
      <c r="N310" s="6"/>
      <c r="O310" s="6"/>
      <c r="P310" s="36"/>
      <c r="Q310" s="34"/>
      <c r="R310" s="34"/>
      <c r="S310" s="34"/>
      <c r="T310" s="37"/>
      <c r="U310" s="37"/>
      <c r="V310" s="38">
        <f>DATEDIF(Table1[[#This Row],[Sponsor*]],Table1[[#This Row],[Start Date*]],"d")</f>
        <v>0</v>
      </c>
      <c r="W310" s="62" t="e">
        <f>DATEDIF([1]!Table1[[#This Row],[Start Date*]],[1]!Table1[[#This Row],[End Date*]],"d")</f>
        <v>#VALUE!</v>
      </c>
      <c r="X310" s="39"/>
      <c r="Y310" s="34"/>
      <c r="Z310" s="34"/>
      <c r="AC310" s="34"/>
      <c r="AE310" s="34"/>
      <c r="AF310" s="40"/>
      <c r="AG310" s="34"/>
      <c r="AH310" s="34"/>
      <c r="AI310" s="34"/>
      <c r="AJ310" s="34"/>
      <c r="AK310" s="34">
        <f>SUBTOTAL(9,Table1[[#This Row],[Up Next Priority]:[Campus]])</f>
        <v>0</v>
      </c>
      <c r="AL310" s="52"/>
      <c r="AM310" s="42"/>
      <c r="AN310" s="43"/>
      <c r="AO310" s="44"/>
      <c r="AP310" s="44"/>
      <c r="AQ310" s="44"/>
      <c r="AR310" s="44"/>
      <c r="AS310" s="51"/>
      <c r="AT310" s="44"/>
      <c r="AU310" s="66">
        <f>SUM(Table1[[#This Row],[Org Impact Score]:[Tools]])</f>
        <v>0</v>
      </c>
      <c r="AV310" s="45"/>
      <c r="AW310" s="34"/>
      <c r="AX310" s="34"/>
      <c r="AY310" s="34"/>
    </row>
    <row r="311" spans="1:51">
      <c r="A311" s="31" t="s">
        <v>406</v>
      </c>
      <c r="B311" s="32" t="s">
        <v>195</v>
      </c>
      <c r="C311" s="32" t="b">
        <v>0</v>
      </c>
      <c r="D311" s="32" t="s">
        <v>405</v>
      </c>
      <c r="E311" s="32" t="s">
        <v>890</v>
      </c>
      <c r="F311" s="32" t="s">
        <v>892</v>
      </c>
      <c r="G311" s="32"/>
      <c r="H311" s="65" t="s">
        <v>407</v>
      </c>
      <c r="I311" s="33"/>
      <c r="J311" s="33"/>
      <c r="K311" s="33"/>
      <c r="L311" s="34"/>
      <c r="M311" s="6"/>
      <c r="N311" s="6"/>
      <c r="O311" s="6"/>
      <c r="P311" s="36"/>
      <c r="Q311" s="34"/>
      <c r="R311" s="34"/>
      <c r="S311" s="34"/>
      <c r="T311" s="37"/>
      <c r="U311" s="37"/>
      <c r="V311" s="38">
        <f>DATEDIF(Table1[[#This Row],[Sponsor*]],Table1[[#This Row],[Start Date*]],"d")</f>
        <v>0</v>
      </c>
      <c r="W311" s="62" t="e">
        <f>DATEDIF([1]!Table1[[#This Row],[Start Date*]],[1]!Table1[[#This Row],[End Date*]],"d")</f>
        <v>#VALUE!</v>
      </c>
      <c r="X311" s="39"/>
      <c r="Y311" s="34"/>
      <c r="Z311" s="34"/>
      <c r="AC311" s="34"/>
      <c r="AE311" s="34"/>
      <c r="AF311" s="40"/>
      <c r="AG311" s="34"/>
      <c r="AH311" s="34"/>
      <c r="AI311" s="34"/>
      <c r="AJ311" s="34"/>
      <c r="AK311" s="34">
        <f>SUBTOTAL(9,Table1[[#This Row],[Up Next Priority]:[Campus]])</f>
        <v>0</v>
      </c>
      <c r="AL311" s="52"/>
      <c r="AM311" s="42"/>
      <c r="AN311" s="43"/>
      <c r="AO311" s="44"/>
      <c r="AP311" s="44"/>
      <c r="AQ311" s="44"/>
      <c r="AR311" s="44"/>
      <c r="AS311" s="51"/>
      <c r="AT311" s="44"/>
      <c r="AU311" s="66">
        <f>SUM(Table1[[#This Row],[Org Impact Score]:[Tools]])</f>
        <v>0</v>
      </c>
      <c r="AV311" s="45"/>
      <c r="AW311" s="34"/>
      <c r="AX311" s="34"/>
      <c r="AY311" s="34"/>
    </row>
    <row r="312" spans="1:51">
      <c r="A312" s="31" t="s">
        <v>1175</v>
      </c>
      <c r="B312" s="32" t="s">
        <v>195</v>
      </c>
      <c r="C312" s="32" t="b">
        <v>0</v>
      </c>
      <c r="D312" s="32" t="s">
        <v>1174</v>
      </c>
      <c r="E312" s="32" t="s">
        <v>890</v>
      </c>
      <c r="F312" s="32" t="s">
        <v>892</v>
      </c>
      <c r="G312" s="32" t="s">
        <v>921</v>
      </c>
      <c r="H312" s="65" t="s">
        <v>1176</v>
      </c>
      <c r="I312" s="33"/>
      <c r="J312" s="33"/>
      <c r="K312" s="33"/>
      <c r="L312" s="34"/>
      <c r="M312" s="6"/>
      <c r="N312" s="6"/>
      <c r="O312" s="6"/>
      <c r="P312" s="36"/>
      <c r="Q312" s="34"/>
      <c r="R312" s="34"/>
      <c r="S312" s="34"/>
      <c r="T312" s="37"/>
      <c r="U312" s="37"/>
      <c r="V312" s="38">
        <f>DATEDIF(Table1[[#This Row],[Sponsor*]],Table1[[#This Row],[Start Date*]],"d")</f>
        <v>0</v>
      </c>
      <c r="W312" s="62" t="e">
        <f>DATEDIF([1]!Table1[[#This Row],[Start Date*]],[1]!Table1[[#This Row],[End Date*]],"d")</f>
        <v>#VALUE!</v>
      </c>
      <c r="X312" s="39"/>
      <c r="Y312" s="34"/>
      <c r="Z312" s="34"/>
      <c r="AC312" s="34"/>
      <c r="AE312" s="34"/>
      <c r="AF312" s="40"/>
      <c r="AG312" s="34"/>
      <c r="AH312" s="34"/>
      <c r="AI312" s="34"/>
      <c r="AJ312" s="34"/>
      <c r="AK312" s="34">
        <f>SUBTOTAL(9,Table1[[#This Row],[Up Next Priority]:[Campus]])</f>
        <v>0</v>
      </c>
      <c r="AL312" s="52"/>
      <c r="AM312" s="42"/>
      <c r="AN312" s="43"/>
      <c r="AO312" s="44"/>
      <c r="AP312" s="44"/>
      <c r="AQ312" s="44"/>
      <c r="AR312" s="44"/>
      <c r="AS312" s="51"/>
      <c r="AT312" s="44"/>
      <c r="AU312" s="66">
        <f>SUM(Table1[[#This Row],[Org Impact Score]:[Tools]])</f>
        <v>0</v>
      </c>
      <c r="AV312" s="45"/>
      <c r="AW312" s="34"/>
      <c r="AX312" s="34"/>
      <c r="AY312" s="34"/>
    </row>
    <row r="313" spans="1:51">
      <c r="A313" s="31" t="s">
        <v>403</v>
      </c>
      <c r="B313" s="32" t="s">
        <v>195</v>
      </c>
      <c r="C313" s="32" t="b">
        <v>0</v>
      </c>
      <c r="D313" s="32" t="s">
        <v>402</v>
      </c>
      <c r="E313" s="32" t="s">
        <v>890</v>
      </c>
      <c r="F313" s="32" t="s">
        <v>892</v>
      </c>
      <c r="G313" s="32" t="s">
        <v>921</v>
      </c>
      <c r="H313" s="65" t="s">
        <v>404</v>
      </c>
      <c r="I313" s="33"/>
      <c r="J313" s="33"/>
      <c r="K313" s="33"/>
      <c r="L313" s="34"/>
      <c r="M313" s="6"/>
      <c r="N313" s="6"/>
      <c r="O313" s="6"/>
      <c r="P313" s="36"/>
      <c r="Q313" s="34"/>
      <c r="R313" s="34"/>
      <c r="S313" s="34"/>
      <c r="T313" s="37"/>
      <c r="U313" s="37"/>
      <c r="V313" s="38">
        <f>DATEDIF(Table1[[#This Row],[Sponsor*]],Table1[[#This Row],[Start Date*]],"d")</f>
        <v>0</v>
      </c>
      <c r="W313" s="62" t="e">
        <f>DATEDIF([1]!Table1[[#This Row],[Start Date*]],[1]!Table1[[#This Row],[End Date*]],"d")</f>
        <v>#VALUE!</v>
      </c>
      <c r="X313" s="39"/>
      <c r="Y313" s="34"/>
      <c r="Z313" s="34"/>
      <c r="AC313" s="34"/>
      <c r="AE313" s="34"/>
      <c r="AF313" s="40"/>
      <c r="AG313" s="34"/>
      <c r="AH313" s="34"/>
      <c r="AI313" s="34"/>
      <c r="AJ313" s="34"/>
      <c r="AK313" s="34">
        <f>SUBTOTAL(9,Table1[[#This Row],[Up Next Priority]:[Campus]])</f>
        <v>0</v>
      </c>
      <c r="AL313" s="52"/>
      <c r="AM313" s="42"/>
      <c r="AN313" s="43"/>
      <c r="AO313" s="44"/>
      <c r="AP313" s="44"/>
      <c r="AQ313" s="44"/>
      <c r="AR313" s="44"/>
      <c r="AS313" s="51"/>
      <c r="AT313" s="44"/>
      <c r="AU313" s="66">
        <f>SUM(Table1[[#This Row],[Org Impact Score]:[Tools]])</f>
        <v>0</v>
      </c>
      <c r="AV313" s="45"/>
      <c r="AW313" s="34"/>
      <c r="AX313" s="34"/>
      <c r="AY313" s="34"/>
    </row>
    <row r="314" spans="1:51">
      <c r="A314" s="31" t="s">
        <v>400</v>
      </c>
      <c r="B314" s="32" t="s">
        <v>195</v>
      </c>
      <c r="C314" s="32" t="b">
        <v>0</v>
      </c>
      <c r="D314" s="32" t="s">
        <v>399</v>
      </c>
      <c r="E314" s="32" t="s">
        <v>890</v>
      </c>
      <c r="F314" s="32" t="s">
        <v>892</v>
      </c>
      <c r="G314" s="32"/>
      <c r="H314" s="65" t="s">
        <v>401</v>
      </c>
      <c r="I314" s="33"/>
      <c r="J314" s="33"/>
      <c r="K314" s="33"/>
      <c r="L314" s="34"/>
      <c r="M314" s="6"/>
      <c r="N314" s="6"/>
      <c r="O314" s="6"/>
      <c r="P314" s="36"/>
      <c r="Q314" s="34"/>
      <c r="R314" s="34"/>
      <c r="S314" s="34"/>
      <c r="T314" s="37"/>
      <c r="U314" s="37"/>
      <c r="V314" s="38">
        <f>DATEDIF(Table1[[#This Row],[Sponsor*]],Table1[[#This Row],[Start Date*]],"d")</f>
        <v>0</v>
      </c>
      <c r="W314" s="62" t="e">
        <f>DATEDIF([1]!Table1[[#This Row],[Start Date*]],[1]!Table1[[#This Row],[End Date*]],"d")</f>
        <v>#VALUE!</v>
      </c>
      <c r="X314" s="39"/>
      <c r="Y314" s="34"/>
      <c r="Z314" s="34"/>
      <c r="AC314" s="34"/>
      <c r="AE314" s="34"/>
      <c r="AF314" s="40"/>
      <c r="AG314" s="34"/>
      <c r="AH314" s="34"/>
      <c r="AI314" s="34"/>
      <c r="AJ314" s="34"/>
      <c r="AK314" s="34">
        <f>SUBTOTAL(9,Table1[[#This Row],[Up Next Priority]:[Campus]])</f>
        <v>0</v>
      </c>
      <c r="AL314" s="52"/>
      <c r="AM314" s="42"/>
      <c r="AN314" s="43"/>
      <c r="AO314" s="44"/>
      <c r="AP314" s="44"/>
      <c r="AQ314" s="44"/>
      <c r="AR314" s="44"/>
      <c r="AS314" s="51"/>
      <c r="AT314" s="44"/>
      <c r="AU314" s="66">
        <f>SUM(Table1[[#This Row],[Org Impact Score]:[Tools]])</f>
        <v>0</v>
      </c>
      <c r="AV314" s="45"/>
      <c r="AW314" s="34"/>
      <c r="AX314" s="34"/>
      <c r="AY314" s="34"/>
    </row>
    <row r="315" spans="1:51">
      <c r="A315" s="31" t="s">
        <v>397</v>
      </c>
      <c r="B315" s="32" t="s">
        <v>195</v>
      </c>
      <c r="C315" s="32" t="b">
        <v>0</v>
      </c>
      <c r="D315" s="32" t="s">
        <v>396</v>
      </c>
      <c r="E315" s="32" t="s">
        <v>890</v>
      </c>
      <c r="F315" s="32" t="s">
        <v>892</v>
      </c>
      <c r="G315" s="32"/>
      <c r="H315" s="65" t="s">
        <v>398</v>
      </c>
      <c r="I315" s="33"/>
      <c r="J315" s="33"/>
      <c r="K315" s="33"/>
      <c r="L315" s="34"/>
      <c r="M315" s="6"/>
      <c r="N315" s="6"/>
      <c r="O315" s="6"/>
      <c r="P315" s="36"/>
      <c r="Q315" s="34"/>
      <c r="R315" s="34"/>
      <c r="S315" s="34"/>
      <c r="T315" s="37"/>
      <c r="U315" s="37"/>
      <c r="V315" s="38">
        <f>DATEDIF(Table1[[#This Row],[Sponsor*]],Table1[[#This Row],[Start Date*]],"d")</f>
        <v>0</v>
      </c>
      <c r="W315" s="62" t="e">
        <f>DATEDIF([1]!Table1[[#This Row],[Start Date*]],[1]!Table1[[#This Row],[End Date*]],"d")</f>
        <v>#VALUE!</v>
      </c>
      <c r="X315" s="39"/>
      <c r="Y315" s="34"/>
      <c r="Z315" s="34"/>
      <c r="AC315" s="34"/>
      <c r="AE315" s="34"/>
      <c r="AF315" s="40"/>
      <c r="AG315" s="34"/>
      <c r="AH315" s="34"/>
      <c r="AI315" s="34"/>
      <c r="AJ315" s="34"/>
      <c r="AK315" s="34">
        <f>SUBTOTAL(9,Table1[[#This Row],[Up Next Priority]:[Campus]])</f>
        <v>0</v>
      </c>
      <c r="AL315" s="52"/>
      <c r="AM315" s="42"/>
      <c r="AN315" s="43"/>
      <c r="AO315" s="44"/>
      <c r="AP315" s="44"/>
      <c r="AQ315" s="44"/>
      <c r="AR315" s="44"/>
      <c r="AS315" s="51"/>
      <c r="AT315" s="44"/>
      <c r="AU315" s="66">
        <f>SUM(Table1[[#This Row],[Org Impact Score]:[Tools]])</f>
        <v>0</v>
      </c>
      <c r="AV315" s="45"/>
      <c r="AW315" s="34"/>
      <c r="AX315" s="34"/>
      <c r="AY315" s="34"/>
    </row>
    <row r="316" spans="1:51">
      <c r="A316" s="31" t="s">
        <v>394</v>
      </c>
      <c r="B316" s="32" t="s">
        <v>195</v>
      </c>
      <c r="C316" s="32" t="b">
        <v>0</v>
      </c>
      <c r="D316" s="32" t="s">
        <v>393</v>
      </c>
      <c r="E316" s="32" t="s">
        <v>890</v>
      </c>
      <c r="F316" s="32" t="s">
        <v>892</v>
      </c>
      <c r="G316" s="32"/>
      <c r="H316" s="65" t="s">
        <v>395</v>
      </c>
      <c r="I316" s="33"/>
      <c r="J316" s="33"/>
      <c r="K316" s="33"/>
      <c r="L316" s="34"/>
      <c r="M316" s="6"/>
      <c r="N316" s="6"/>
      <c r="O316" s="6"/>
      <c r="P316" s="36"/>
      <c r="Q316" s="34"/>
      <c r="R316" s="34"/>
      <c r="S316" s="34"/>
      <c r="T316" s="37"/>
      <c r="U316" s="37"/>
      <c r="V316" s="38">
        <f>DATEDIF(Table1[[#This Row],[Sponsor*]],Table1[[#This Row],[Start Date*]],"d")</f>
        <v>0</v>
      </c>
      <c r="W316" s="62" t="e">
        <f>DATEDIF([1]!Table1[[#This Row],[Start Date*]],[1]!Table1[[#This Row],[End Date*]],"d")</f>
        <v>#VALUE!</v>
      </c>
      <c r="X316" s="39"/>
      <c r="Y316" s="34"/>
      <c r="Z316" s="34"/>
      <c r="AC316" s="34"/>
      <c r="AE316" s="34"/>
      <c r="AF316" s="40"/>
      <c r="AG316" s="34"/>
      <c r="AH316" s="34"/>
      <c r="AI316" s="34"/>
      <c r="AJ316" s="34"/>
      <c r="AK316" s="34">
        <f>SUBTOTAL(9,Table1[[#This Row],[Up Next Priority]:[Campus]])</f>
        <v>0</v>
      </c>
      <c r="AL316" s="52"/>
      <c r="AM316" s="42"/>
      <c r="AN316" s="43"/>
      <c r="AO316" s="44"/>
      <c r="AP316" s="44"/>
      <c r="AQ316" s="44"/>
      <c r="AR316" s="44"/>
      <c r="AS316" s="51"/>
      <c r="AT316" s="44"/>
      <c r="AU316" s="66">
        <f>SUM(Table1[[#This Row],[Org Impact Score]:[Tools]])</f>
        <v>0</v>
      </c>
      <c r="AV316" s="45"/>
      <c r="AW316" s="34"/>
      <c r="AX316" s="34"/>
      <c r="AY316" s="34"/>
    </row>
    <row r="317" spans="1:51">
      <c r="A317" s="31" t="s">
        <v>391</v>
      </c>
      <c r="B317" s="32" t="s">
        <v>195</v>
      </c>
      <c r="C317" s="32" t="b">
        <v>0</v>
      </c>
      <c r="D317" s="32" t="s">
        <v>390</v>
      </c>
      <c r="E317" s="32" t="s">
        <v>890</v>
      </c>
      <c r="F317" s="32" t="s">
        <v>892</v>
      </c>
      <c r="G317" s="32"/>
      <c r="H317" s="65" t="s">
        <v>392</v>
      </c>
      <c r="I317" s="33"/>
      <c r="J317" s="33"/>
      <c r="K317" s="33"/>
      <c r="L317" s="34"/>
      <c r="M317" s="6"/>
      <c r="N317" s="6"/>
      <c r="O317" s="6"/>
      <c r="P317" s="36"/>
      <c r="Q317" s="34"/>
      <c r="R317" s="34"/>
      <c r="S317" s="34"/>
      <c r="T317" s="37"/>
      <c r="U317" s="37"/>
      <c r="V317" s="38">
        <f>DATEDIF(Table1[[#This Row],[Sponsor*]],Table1[[#This Row],[Start Date*]],"d")</f>
        <v>0</v>
      </c>
      <c r="W317" s="62" t="e">
        <f>DATEDIF([1]!Table1[[#This Row],[Start Date*]],[1]!Table1[[#This Row],[End Date*]],"d")</f>
        <v>#VALUE!</v>
      </c>
      <c r="X317" s="39"/>
      <c r="Y317" s="34"/>
      <c r="Z317" s="34"/>
      <c r="AC317" s="34"/>
      <c r="AE317" s="34"/>
      <c r="AF317" s="40"/>
      <c r="AG317" s="34"/>
      <c r="AH317" s="34"/>
      <c r="AI317" s="34"/>
      <c r="AJ317" s="34"/>
      <c r="AK317" s="34">
        <f>SUBTOTAL(9,Table1[[#This Row],[Up Next Priority]:[Campus]])</f>
        <v>0</v>
      </c>
      <c r="AL317" s="52"/>
      <c r="AM317" s="42"/>
      <c r="AN317" s="43"/>
      <c r="AO317" s="44"/>
      <c r="AP317" s="44"/>
      <c r="AQ317" s="44"/>
      <c r="AR317" s="44"/>
      <c r="AS317" s="51"/>
      <c r="AT317" s="44"/>
      <c r="AU317" s="66">
        <f>SUM(Table1[[#This Row],[Org Impact Score]:[Tools]])</f>
        <v>0</v>
      </c>
      <c r="AV317" s="45"/>
      <c r="AW317" s="34"/>
      <c r="AX317" s="34"/>
      <c r="AY317" s="34"/>
    </row>
    <row r="318" spans="1:51">
      <c r="A318" s="31" t="s">
        <v>388</v>
      </c>
      <c r="B318" s="32" t="s">
        <v>195</v>
      </c>
      <c r="C318" s="32" t="b">
        <v>0</v>
      </c>
      <c r="D318" s="56" t="s">
        <v>387</v>
      </c>
      <c r="E318" s="32" t="s">
        <v>890</v>
      </c>
      <c r="F318" s="32" t="s">
        <v>892</v>
      </c>
      <c r="G318" s="32"/>
      <c r="H318" s="65" t="s">
        <v>389</v>
      </c>
      <c r="I318" s="33"/>
      <c r="J318" s="33"/>
      <c r="K318" s="33"/>
      <c r="L318" s="34"/>
      <c r="M318" s="6"/>
      <c r="N318" s="6"/>
      <c r="O318" s="6"/>
      <c r="P318" s="36"/>
      <c r="Q318" s="34"/>
      <c r="R318" s="34"/>
      <c r="S318" s="34"/>
      <c r="T318" s="37"/>
      <c r="U318" s="37"/>
      <c r="V318" s="38">
        <f>DATEDIF(Table1[[#This Row],[Sponsor*]],Table1[[#This Row],[Start Date*]],"d")</f>
        <v>0</v>
      </c>
      <c r="W318" s="62" t="e">
        <f>DATEDIF([1]!Table1[[#This Row],[Start Date*]],[1]!Table1[[#This Row],[End Date*]],"d")</f>
        <v>#VALUE!</v>
      </c>
      <c r="X318" s="39"/>
      <c r="Y318" s="34"/>
      <c r="Z318" s="34"/>
      <c r="AC318" s="34"/>
      <c r="AE318" s="34"/>
      <c r="AF318" s="40"/>
      <c r="AG318" s="34"/>
      <c r="AH318" s="34"/>
      <c r="AI318" s="34"/>
      <c r="AJ318" s="34"/>
      <c r="AK318" s="34">
        <f>SUBTOTAL(9,Table1[[#This Row],[Up Next Priority]:[Campus]])</f>
        <v>0</v>
      </c>
      <c r="AL318" s="52"/>
      <c r="AM318" s="42"/>
      <c r="AN318" s="43"/>
      <c r="AO318" s="44"/>
      <c r="AP318" s="44"/>
      <c r="AQ318" s="44"/>
      <c r="AR318" s="44"/>
      <c r="AS318" s="51"/>
      <c r="AT318" s="44"/>
      <c r="AU318" s="66">
        <f>SUM(Table1[[#This Row],[Org Impact Score]:[Tools]])</f>
        <v>0</v>
      </c>
      <c r="AV318" s="45"/>
      <c r="AW318" s="34"/>
      <c r="AX318" s="34"/>
      <c r="AY318" s="34"/>
    </row>
    <row r="319" spans="1:51">
      <c r="A319" s="31" t="s">
        <v>385</v>
      </c>
      <c r="B319" s="32" t="s">
        <v>195</v>
      </c>
      <c r="C319" s="32" t="b">
        <v>0</v>
      </c>
      <c r="D319" s="32" t="s">
        <v>384</v>
      </c>
      <c r="E319" s="32" t="s">
        <v>890</v>
      </c>
      <c r="F319" s="32" t="s">
        <v>892</v>
      </c>
      <c r="G319" s="32"/>
      <c r="H319" s="65" t="s">
        <v>386</v>
      </c>
      <c r="I319" s="33"/>
      <c r="J319" s="33"/>
      <c r="K319" s="33"/>
      <c r="L319" s="34"/>
      <c r="M319" s="6"/>
      <c r="N319" s="6"/>
      <c r="O319" s="6"/>
      <c r="P319" s="36"/>
      <c r="Q319" s="34"/>
      <c r="R319" s="34"/>
      <c r="S319" s="34"/>
      <c r="T319" s="37"/>
      <c r="U319" s="37"/>
      <c r="V319" s="38">
        <f>DATEDIF(Table1[[#This Row],[Sponsor*]],Table1[[#This Row],[Start Date*]],"d")</f>
        <v>0</v>
      </c>
      <c r="W319" s="62" t="e">
        <f>DATEDIF([1]!Table1[[#This Row],[Start Date*]],[1]!Table1[[#This Row],[End Date*]],"d")</f>
        <v>#VALUE!</v>
      </c>
      <c r="X319" s="39"/>
      <c r="Y319" s="34"/>
      <c r="Z319" s="34"/>
      <c r="AC319" s="34"/>
      <c r="AE319" s="34"/>
      <c r="AF319" s="40"/>
      <c r="AG319" s="34"/>
      <c r="AH319" s="34"/>
      <c r="AI319" s="34"/>
      <c r="AJ319" s="34"/>
      <c r="AK319" s="34">
        <f>SUBTOTAL(9,Table1[[#This Row],[Up Next Priority]:[Campus]])</f>
        <v>0</v>
      </c>
      <c r="AL319" s="52"/>
      <c r="AM319" s="42"/>
      <c r="AN319" s="43"/>
      <c r="AO319" s="44"/>
      <c r="AP319" s="44"/>
      <c r="AQ319" s="44"/>
      <c r="AR319" s="44"/>
      <c r="AS319" s="51"/>
      <c r="AT319" s="44"/>
      <c r="AU319" s="66">
        <f>SUM(Table1[[#This Row],[Org Impact Score]:[Tools]])</f>
        <v>0</v>
      </c>
      <c r="AV319" s="45"/>
      <c r="AW319" s="34"/>
      <c r="AX319" s="34"/>
      <c r="AY319" s="34"/>
    </row>
    <row r="320" spans="1:51">
      <c r="A320" s="31" t="s">
        <v>380</v>
      </c>
      <c r="B320" s="32" t="s">
        <v>195</v>
      </c>
      <c r="C320" s="32" t="b">
        <v>0</v>
      </c>
      <c r="D320" s="32" t="s">
        <v>379</v>
      </c>
      <c r="E320" s="32" t="s">
        <v>890</v>
      </c>
      <c r="F320" s="32" t="s">
        <v>892</v>
      </c>
      <c r="G320" s="32"/>
      <c r="H320" s="65" t="s">
        <v>381</v>
      </c>
      <c r="I320" s="33"/>
      <c r="J320" s="33"/>
      <c r="K320" s="33"/>
      <c r="L320" s="34"/>
      <c r="M320" s="6"/>
      <c r="N320" s="6"/>
      <c r="O320" s="6"/>
      <c r="P320" s="36"/>
      <c r="Q320" s="34"/>
      <c r="R320" s="34"/>
      <c r="S320" s="34"/>
      <c r="T320" s="37"/>
      <c r="U320" s="37"/>
      <c r="V320" s="38">
        <f>DATEDIF(Table1[[#This Row],[Sponsor*]],Table1[[#This Row],[Start Date*]],"d")</f>
        <v>0</v>
      </c>
      <c r="W320" s="62" t="e">
        <f>DATEDIF([1]!Table1[[#This Row],[Start Date*]],[1]!Table1[[#This Row],[End Date*]],"d")</f>
        <v>#VALUE!</v>
      </c>
      <c r="X320" s="39"/>
      <c r="Y320" s="34"/>
      <c r="Z320" s="34"/>
      <c r="AC320" s="34"/>
      <c r="AE320" s="34"/>
      <c r="AF320" s="40"/>
      <c r="AG320" s="34"/>
      <c r="AH320" s="34"/>
      <c r="AI320" s="34"/>
      <c r="AJ320" s="34"/>
      <c r="AK320" s="34">
        <f>SUBTOTAL(9,Table1[[#This Row],[Up Next Priority]:[Campus]])</f>
        <v>0</v>
      </c>
      <c r="AL320" s="52"/>
      <c r="AM320" s="42"/>
      <c r="AN320" s="43"/>
      <c r="AO320" s="44"/>
      <c r="AP320" s="44"/>
      <c r="AQ320" s="44"/>
      <c r="AR320" s="44"/>
      <c r="AS320" s="51"/>
      <c r="AT320" s="44"/>
      <c r="AU320" s="66">
        <f>SUM(Table1[[#This Row],[Org Impact Score]:[Tools]])</f>
        <v>0</v>
      </c>
      <c r="AV320" s="45"/>
      <c r="AW320" s="34"/>
      <c r="AX320" s="34"/>
      <c r="AY320" s="34"/>
    </row>
    <row r="321" spans="1:51">
      <c r="A321" s="31" t="s">
        <v>1172</v>
      </c>
      <c r="B321" s="32" t="s">
        <v>195</v>
      </c>
      <c r="C321" s="32" t="b">
        <v>0</v>
      </c>
      <c r="D321" s="32" t="s">
        <v>1171</v>
      </c>
      <c r="E321" s="32" t="s">
        <v>890</v>
      </c>
      <c r="F321" s="32" t="s">
        <v>891</v>
      </c>
      <c r="G321" s="32"/>
      <c r="H321" s="65" t="s">
        <v>1173</v>
      </c>
      <c r="I321" s="33"/>
      <c r="J321" s="33"/>
      <c r="K321" s="33"/>
      <c r="L321" s="34"/>
      <c r="M321" s="6"/>
      <c r="N321" s="6"/>
      <c r="O321" s="6"/>
      <c r="P321" s="36"/>
      <c r="Q321" s="34"/>
      <c r="R321" s="34"/>
      <c r="S321" s="34"/>
      <c r="T321" s="37"/>
      <c r="U321" s="37"/>
      <c r="V321" s="38">
        <f>DATEDIF(Table1[[#This Row],[Sponsor*]],Table1[[#This Row],[Start Date*]],"d")</f>
        <v>0</v>
      </c>
      <c r="W321" s="62" t="e">
        <f>DATEDIF([1]!Table1[[#This Row],[Start Date*]],[1]!Table1[[#This Row],[End Date*]],"d")</f>
        <v>#VALUE!</v>
      </c>
      <c r="X321" s="39"/>
      <c r="Y321" s="34"/>
      <c r="Z321" s="34"/>
      <c r="AC321" s="34"/>
      <c r="AE321" s="34"/>
      <c r="AF321" s="40"/>
      <c r="AG321" s="34"/>
      <c r="AH321" s="34"/>
      <c r="AI321" s="34"/>
      <c r="AJ321" s="34"/>
      <c r="AK321" s="34">
        <f>SUBTOTAL(9,Table1[[#This Row],[Up Next Priority]:[Campus]])</f>
        <v>0</v>
      </c>
      <c r="AL321" s="52"/>
      <c r="AM321" s="42"/>
      <c r="AN321" s="43"/>
      <c r="AO321" s="44"/>
      <c r="AP321" s="44"/>
      <c r="AQ321" s="44"/>
      <c r="AR321" s="44"/>
      <c r="AS321" s="51"/>
      <c r="AT321" s="44"/>
      <c r="AU321" s="66">
        <f>SUM(Table1[[#This Row],[Org Impact Score]:[Tools]])</f>
        <v>0</v>
      </c>
      <c r="AV321" s="45"/>
      <c r="AW321" s="34"/>
      <c r="AX321" s="34"/>
      <c r="AY321" s="34"/>
    </row>
    <row r="322" spans="1:51">
      <c r="A322" s="31" t="s">
        <v>1169</v>
      </c>
      <c r="B322" s="32" t="s">
        <v>195</v>
      </c>
      <c r="C322" s="32" t="b">
        <v>0</v>
      </c>
      <c r="D322" s="32" t="s">
        <v>1168</v>
      </c>
      <c r="E322" s="32" t="s">
        <v>890</v>
      </c>
      <c r="F322" s="32" t="s">
        <v>891</v>
      </c>
      <c r="G322" s="32"/>
      <c r="H322" s="65" t="s">
        <v>1170</v>
      </c>
      <c r="I322" s="33"/>
      <c r="J322" s="33"/>
      <c r="K322" s="33"/>
      <c r="L322" s="34"/>
      <c r="M322" s="6"/>
      <c r="N322" s="6"/>
      <c r="O322" s="6"/>
      <c r="P322" s="36"/>
      <c r="Q322" s="34"/>
      <c r="R322" s="34"/>
      <c r="S322" s="34"/>
      <c r="T322" s="37"/>
      <c r="U322" s="37"/>
      <c r="V322" s="38">
        <f>DATEDIF(Table1[[#This Row],[Sponsor*]],Table1[[#This Row],[Start Date*]],"d")</f>
        <v>0</v>
      </c>
      <c r="W322" s="62" t="e">
        <f>DATEDIF([1]!Table1[[#This Row],[Start Date*]],[1]!Table1[[#This Row],[End Date*]],"d")</f>
        <v>#VALUE!</v>
      </c>
      <c r="X322" s="39"/>
      <c r="Y322" s="34"/>
      <c r="Z322" s="34"/>
      <c r="AC322" s="34"/>
      <c r="AE322" s="34"/>
      <c r="AF322" s="40"/>
      <c r="AG322" s="34"/>
      <c r="AH322" s="34"/>
      <c r="AI322" s="34"/>
      <c r="AJ322" s="34"/>
      <c r="AK322" s="34">
        <f>SUBTOTAL(9,Table1[[#This Row],[Up Next Priority]:[Campus]])</f>
        <v>0</v>
      </c>
      <c r="AL322" s="52"/>
      <c r="AM322" s="42"/>
      <c r="AN322" s="43"/>
      <c r="AO322" s="44"/>
      <c r="AP322" s="44"/>
      <c r="AQ322" s="44"/>
      <c r="AR322" s="44"/>
      <c r="AS322" s="51"/>
      <c r="AT322" s="44"/>
      <c r="AU322" s="66">
        <f>SUM(Table1[[#This Row],[Org Impact Score]:[Tools]])</f>
        <v>0</v>
      </c>
      <c r="AV322" s="45"/>
      <c r="AW322" s="34"/>
      <c r="AX322" s="34"/>
      <c r="AY322" s="34"/>
    </row>
    <row r="323" spans="1:51">
      <c r="A323" s="31" t="s">
        <v>1161</v>
      </c>
      <c r="B323" s="32" t="s">
        <v>195</v>
      </c>
      <c r="C323" s="32" t="b">
        <v>0</v>
      </c>
      <c r="D323" s="32" t="s">
        <v>1160</v>
      </c>
      <c r="E323" s="32" t="s">
        <v>890</v>
      </c>
      <c r="F323" s="32" t="s">
        <v>891</v>
      </c>
      <c r="G323" s="32"/>
      <c r="H323" s="65" t="s">
        <v>1162</v>
      </c>
      <c r="I323" s="33"/>
      <c r="J323" s="33"/>
      <c r="K323" s="33"/>
      <c r="L323" s="34"/>
      <c r="M323" s="6"/>
      <c r="N323" s="6"/>
      <c r="O323" s="6"/>
      <c r="P323" s="36"/>
      <c r="Q323" s="34"/>
      <c r="R323" s="34"/>
      <c r="S323" s="34"/>
      <c r="T323" s="37"/>
      <c r="U323" s="37"/>
      <c r="V323" s="38">
        <f>DATEDIF(Table1[[#This Row],[Sponsor*]],Table1[[#This Row],[Start Date*]],"d")</f>
        <v>0</v>
      </c>
      <c r="W323" s="62" t="e">
        <f>DATEDIF([1]!Table1[[#This Row],[Start Date*]],[1]!Table1[[#This Row],[End Date*]],"d")</f>
        <v>#VALUE!</v>
      </c>
      <c r="X323" s="39"/>
      <c r="Y323" s="34"/>
      <c r="Z323" s="34"/>
      <c r="AC323" s="34"/>
      <c r="AE323" s="34"/>
      <c r="AF323" s="40"/>
      <c r="AG323" s="34"/>
      <c r="AH323" s="34"/>
      <c r="AI323" s="34"/>
      <c r="AJ323" s="34"/>
      <c r="AK323" s="34">
        <f>SUBTOTAL(9,Table1[[#This Row],[Up Next Priority]:[Campus]])</f>
        <v>0</v>
      </c>
      <c r="AL323" s="52"/>
      <c r="AM323" s="42"/>
      <c r="AN323" s="43"/>
      <c r="AO323" s="44"/>
      <c r="AP323" s="44"/>
      <c r="AQ323" s="44"/>
      <c r="AR323" s="44"/>
      <c r="AS323" s="51"/>
      <c r="AT323" s="44"/>
      <c r="AU323" s="66">
        <f>SUM(Table1[[#This Row],[Org Impact Score]:[Tools]])</f>
        <v>0</v>
      </c>
      <c r="AV323" s="45"/>
      <c r="AW323" s="34"/>
      <c r="AX323" s="34"/>
      <c r="AY323" s="34"/>
    </row>
    <row r="324" spans="1:51">
      <c r="A324" s="31" t="s">
        <v>1144</v>
      </c>
      <c r="B324" s="32" t="s">
        <v>195</v>
      </c>
      <c r="C324" s="32" t="b">
        <v>0</v>
      </c>
      <c r="D324" s="32" t="s">
        <v>1143</v>
      </c>
      <c r="E324" s="32" t="s">
        <v>890</v>
      </c>
      <c r="F324" s="32" t="s">
        <v>891</v>
      </c>
      <c r="G324" s="32"/>
      <c r="H324" s="65" t="s">
        <v>1145</v>
      </c>
      <c r="I324" s="33"/>
      <c r="J324" s="33"/>
      <c r="K324" s="33"/>
      <c r="L324" s="34"/>
      <c r="M324" s="6"/>
      <c r="N324" s="6"/>
      <c r="O324" s="6"/>
      <c r="P324" s="36"/>
      <c r="Q324" s="34"/>
      <c r="R324" s="34"/>
      <c r="S324" s="34"/>
      <c r="T324" s="37"/>
      <c r="U324" s="37"/>
      <c r="V324" s="38">
        <f>DATEDIF(Table1[[#This Row],[Sponsor*]],Table1[[#This Row],[Start Date*]],"d")</f>
        <v>0</v>
      </c>
      <c r="W324" s="62" t="e">
        <f>DATEDIF([1]!Table1[[#This Row],[Start Date*]],[1]!Table1[[#This Row],[End Date*]],"d")</f>
        <v>#VALUE!</v>
      </c>
      <c r="X324" s="39"/>
      <c r="Y324" s="34"/>
      <c r="Z324" s="34"/>
      <c r="AC324" s="34"/>
      <c r="AE324" s="34"/>
      <c r="AF324" s="40"/>
      <c r="AG324" s="34"/>
      <c r="AH324" s="34"/>
      <c r="AI324" s="34"/>
      <c r="AJ324" s="34"/>
      <c r="AK324" s="34">
        <f>SUBTOTAL(9,Table1[[#This Row],[Up Next Priority]:[Campus]])</f>
        <v>0</v>
      </c>
      <c r="AL324" s="52"/>
      <c r="AM324" s="42"/>
      <c r="AN324" s="43"/>
      <c r="AO324" s="44"/>
      <c r="AP324" s="44"/>
      <c r="AQ324" s="44"/>
      <c r="AR324" s="44"/>
      <c r="AS324" s="51"/>
      <c r="AT324" s="44"/>
      <c r="AU324" s="66">
        <f>SUM(Table1[[#This Row],[Org Impact Score]:[Tools]])</f>
        <v>0</v>
      </c>
      <c r="AV324" s="45"/>
      <c r="AW324" s="34"/>
      <c r="AX324" s="34"/>
      <c r="AY324" s="34"/>
    </row>
    <row r="325" spans="1:51">
      <c r="A325" s="31" t="s">
        <v>373</v>
      </c>
      <c r="B325" s="32" t="s">
        <v>195</v>
      </c>
      <c r="C325" s="32" t="b">
        <v>0</v>
      </c>
      <c r="D325" s="32" t="s">
        <v>372</v>
      </c>
      <c r="E325" s="32" t="s">
        <v>890</v>
      </c>
      <c r="F325" s="32" t="s">
        <v>891</v>
      </c>
      <c r="G325" s="32"/>
      <c r="H325" s="65" t="s">
        <v>374</v>
      </c>
      <c r="I325" s="33"/>
      <c r="J325" s="33"/>
      <c r="K325" s="33"/>
      <c r="L325" s="34"/>
      <c r="M325" s="6"/>
      <c r="N325" s="6"/>
      <c r="O325" s="6"/>
      <c r="P325" s="36"/>
      <c r="Q325" s="34"/>
      <c r="R325" s="34"/>
      <c r="S325" s="34"/>
      <c r="T325" s="37"/>
      <c r="U325" s="37"/>
      <c r="V325" s="38">
        <f>DATEDIF(Table1[[#This Row],[Sponsor*]],Table1[[#This Row],[Start Date*]],"d")</f>
        <v>0</v>
      </c>
      <c r="W325" s="62" t="e">
        <f>DATEDIF([1]!Table1[[#This Row],[Start Date*]],[1]!Table1[[#This Row],[End Date*]],"d")</f>
        <v>#VALUE!</v>
      </c>
      <c r="X325" s="39"/>
      <c r="Y325" s="34"/>
      <c r="Z325" s="34"/>
      <c r="AC325" s="34"/>
      <c r="AE325" s="34"/>
      <c r="AF325" s="40"/>
      <c r="AG325" s="34"/>
      <c r="AH325" s="34"/>
      <c r="AI325" s="34"/>
      <c r="AJ325" s="34"/>
      <c r="AK325" s="34">
        <f>SUBTOTAL(9,Table1[[#This Row],[Up Next Priority]:[Campus]])</f>
        <v>0</v>
      </c>
      <c r="AL325" s="52"/>
      <c r="AM325" s="42"/>
      <c r="AN325" s="43"/>
      <c r="AO325" s="44"/>
      <c r="AP325" s="44"/>
      <c r="AQ325" s="44"/>
      <c r="AR325" s="44"/>
      <c r="AS325" s="51"/>
      <c r="AT325" s="44"/>
      <c r="AU325" s="66">
        <f>SUM(Table1[[#This Row],[Org Impact Score]:[Tools]])</f>
        <v>0</v>
      </c>
      <c r="AV325" s="45"/>
      <c r="AW325" s="34"/>
      <c r="AX325" s="34"/>
      <c r="AY325" s="34"/>
    </row>
    <row r="326" spans="1:51">
      <c r="A326" s="31" t="s">
        <v>370</v>
      </c>
      <c r="B326" s="32" t="s">
        <v>195</v>
      </c>
      <c r="C326" s="32" t="b">
        <v>0</v>
      </c>
      <c r="D326" s="32" t="s">
        <v>369</v>
      </c>
      <c r="E326" s="32" t="s">
        <v>890</v>
      </c>
      <c r="F326" s="32" t="s">
        <v>891</v>
      </c>
      <c r="G326" s="32" t="s">
        <v>917</v>
      </c>
      <c r="H326" s="65" t="s">
        <v>371</v>
      </c>
      <c r="I326" s="33"/>
      <c r="J326" s="33"/>
      <c r="K326" s="33"/>
      <c r="L326" s="34"/>
      <c r="M326" s="6"/>
      <c r="N326" s="6"/>
      <c r="O326" s="6"/>
      <c r="P326" s="36"/>
      <c r="Q326" s="34"/>
      <c r="R326" s="34"/>
      <c r="S326" s="34"/>
      <c r="T326" s="37"/>
      <c r="U326" s="37"/>
      <c r="V326" s="38">
        <f>DATEDIF(Table1[[#This Row],[Sponsor*]],Table1[[#This Row],[Start Date*]],"d")</f>
        <v>0</v>
      </c>
      <c r="W326" s="62" t="e">
        <f>DATEDIF([1]!Table1[[#This Row],[Start Date*]],[1]!Table1[[#This Row],[End Date*]],"d")</f>
        <v>#VALUE!</v>
      </c>
      <c r="X326" s="39"/>
      <c r="Y326" s="34"/>
      <c r="Z326" s="34"/>
      <c r="AC326" s="34"/>
      <c r="AE326" s="34"/>
      <c r="AF326" s="40"/>
      <c r="AG326" s="34"/>
      <c r="AH326" s="34"/>
      <c r="AI326" s="34"/>
      <c r="AJ326" s="34"/>
      <c r="AK326" s="34">
        <f>SUBTOTAL(9,Table1[[#This Row],[Up Next Priority]:[Campus]])</f>
        <v>0</v>
      </c>
      <c r="AL326" s="52"/>
      <c r="AM326" s="42"/>
      <c r="AN326" s="43"/>
      <c r="AO326" s="44"/>
      <c r="AP326" s="44"/>
      <c r="AQ326" s="44"/>
      <c r="AR326" s="44"/>
      <c r="AS326" s="51"/>
      <c r="AT326" s="44"/>
      <c r="AU326" s="66">
        <f>SUM(Table1[[#This Row],[Org Impact Score]:[Tools]])</f>
        <v>0</v>
      </c>
      <c r="AV326" s="45"/>
      <c r="AW326" s="34"/>
      <c r="AX326" s="34"/>
      <c r="AY326" s="34"/>
    </row>
    <row r="327" spans="1:51">
      <c r="A327" s="31" t="s">
        <v>367</v>
      </c>
      <c r="B327" s="32" t="s">
        <v>195</v>
      </c>
      <c r="C327" s="32" t="b">
        <v>0</v>
      </c>
      <c r="D327" s="32" t="s">
        <v>366</v>
      </c>
      <c r="E327" s="32" t="s">
        <v>890</v>
      </c>
      <c r="F327" s="32" t="s">
        <v>891</v>
      </c>
      <c r="G327" s="32"/>
      <c r="H327" s="65" t="s">
        <v>368</v>
      </c>
      <c r="I327" s="33"/>
      <c r="J327" s="33"/>
      <c r="K327" s="33"/>
      <c r="L327" s="34"/>
      <c r="M327" s="6"/>
      <c r="N327" s="6"/>
      <c r="O327" s="6"/>
      <c r="P327" s="36"/>
      <c r="Q327" s="34"/>
      <c r="R327" s="34"/>
      <c r="S327" s="34"/>
      <c r="T327" s="37"/>
      <c r="U327" s="37"/>
      <c r="V327" s="38">
        <f>DATEDIF(Table1[[#This Row],[Sponsor*]],Table1[[#This Row],[Start Date*]],"d")</f>
        <v>0</v>
      </c>
      <c r="W327" s="62" t="e">
        <f>DATEDIF([1]!Table1[[#This Row],[Start Date*]],[1]!Table1[[#This Row],[End Date*]],"d")</f>
        <v>#VALUE!</v>
      </c>
      <c r="X327" s="39"/>
      <c r="Y327" s="34"/>
      <c r="Z327" s="34"/>
      <c r="AC327" s="34"/>
      <c r="AE327" s="34"/>
      <c r="AF327" s="40"/>
      <c r="AG327" s="34"/>
      <c r="AH327" s="34"/>
      <c r="AI327" s="34"/>
      <c r="AJ327" s="34"/>
      <c r="AK327" s="34">
        <f>SUBTOTAL(9,Table1[[#This Row],[Up Next Priority]:[Campus]])</f>
        <v>0</v>
      </c>
      <c r="AL327" s="52"/>
      <c r="AM327" s="42"/>
      <c r="AN327" s="43"/>
      <c r="AO327" s="44"/>
      <c r="AP327" s="44"/>
      <c r="AQ327" s="44"/>
      <c r="AR327" s="44"/>
      <c r="AS327" s="51"/>
      <c r="AT327" s="44"/>
      <c r="AU327" s="66">
        <f>SUM(Table1[[#This Row],[Org Impact Score]:[Tools]])</f>
        <v>0</v>
      </c>
      <c r="AV327" s="45"/>
      <c r="AW327" s="34"/>
      <c r="AX327" s="34"/>
      <c r="AY327" s="34"/>
    </row>
    <row r="328" spans="1:51">
      <c r="A328" s="31" t="s">
        <v>364</v>
      </c>
      <c r="B328" s="32" t="s">
        <v>195</v>
      </c>
      <c r="C328" s="32" t="b">
        <v>0</v>
      </c>
      <c r="D328" s="32" t="s">
        <v>363</v>
      </c>
      <c r="E328" s="32" t="s">
        <v>890</v>
      </c>
      <c r="F328" s="32" t="s">
        <v>891</v>
      </c>
      <c r="G328" s="32"/>
      <c r="H328" s="65" t="s">
        <v>365</v>
      </c>
      <c r="I328" s="33"/>
      <c r="J328" s="33"/>
      <c r="K328" s="33"/>
      <c r="L328" s="34"/>
      <c r="M328" s="6"/>
      <c r="N328" s="6"/>
      <c r="O328" s="6"/>
      <c r="P328" s="36"/>
      <c r="Q328" s="34"/>
      <c r="R328" s="34"/>
      <c r="S328" s="34"/>
      <c r="T328" s="37"/>
      <c r="U328" s="37"/>
      <c r="V328" s="38">
        <f>DATEDIF(Table1[[#This Row],[Sponsor*]],Table1[[#This Row],[Start Date*]],"d")</f>
        <v>0</v>
      </c>
      <c r="W328" s="62" t="e">
        <f>DATEDIF([1]!Table1[[#This Row],[Start Date*]],[1]!Table1[[#This Row],[End Date*]],"d")</f>
        <v>#VALUE!</v>
      </c>
      <c r="X328" s="39"/>
      <c r="Y328" s="34"/>
      <c r="Z328" s="34"/>
      <c r="AC328" s="34"/>
      <c r="AE328" s="34"/>
      <c r="AF328" s="40"/>
      <c r="AG328" s="34"/>
      <c r="AH328" s="34"/>
      <c r="AI328" s="34"/>
      <c r="AJ328" s="34"/>
      <c r="AK328" s="34">
        <f>SUBTOTAL(9,Table1[[#This Row],[Up Next Priority]:[Campus]])</f>
        <v>0</v>
      </c>
      <c r="AL328" s="52"/>
      <c r="AM328" s="42"/>
      <c r="AN328" s="43"/>
      <c r="AO328" s="44"/>
      <c r="AP328" s="44"/>
      <c r="AQ328" s="44"/>
      <c r="AR328" s="44"/>
      <c r="AS328" s="51"/>
      <c r="AT328" s="44"/>
      <c r="AU328" s="66">
        <f>SUM(Table1[[#This Row],[Org Impact Score]:[Tools]])</f>
        <v>0</v>
      </c>
      <c r="AV328" s="45"/>
      <c r="AW328" s="34"/>
      <c r="AX328" s="34"/>
      <c r="AY328" s="34"/>
    </row>
    <row r="329" spans="1:51">
      <c r="A329" s="31" t="s">
        <v>361</v>
      </c>
      <c r="B329" s="32" t="s">
        <v>195</v>
      </c>
      <c r="C329" s="32" t="b">
        <v>0</v>
      </c>
      <c r="D329" s="32" t="s">
        <v>360</v>
      </c>
      <c r="E329" s="32" t="s">
        <v>890</v>
      </c>
      <c r="F329" s="32" t="s">
        <v>891</v>
      </c>
      <c r="G329" s="32"/>
      <c r="H329" s="65" t="s">
        <v>362</v>
      </c>
      <c r="I329" s="33"/>
      <c r="J329" s="33"/>
      <c r="K329" s="33"/>
      <c r="L329" s="34"/>
      <c r="M329" s="6"/>
      <c r="N329" s="6"/>
      <c r="O329" s="6"/>
      <c r="P329" s="36"/>
      <c r="Q329" s="34"/>
      <c r="R329" s="34"/>
      <c r="S329" s="34"/>
      <c r="T329" s="37"/>
      <c r="U329" s="37"/>
      <c r="V329" s="38">
        <f>DATEDIF(Table1[[#This Row],[Sponsor*]],Table1[[#This Row],[Start Date*]],"d")</f>
        <v>0</v>
      </c>
      <c r="W329" s="62" t="e">
        <f>DATEDIF([1]!Table1[[#This Row],[Start Date*]],[1]!Table1[[#This Row],[End Date*]],"d")</f>
        <v>#VALUE!</v>
      </c>
      <c r="X329" s="39"/>
      <c r="Y329" s="34"/>
      <c r="Z329" s="34"/>
      <c r="AC329" s="34"/>
      <c r="AE329" s="34"/>
      <c r="AF329" s="40"/>
      <c r="AG329" s="34"/>
      <c r="AH329" s="34"/>
      <c r="AI329" s="34"/>
      <c r="AJ329" s="34"/>
      <c r="AK329" s="34">
        <f>SUBTOTAL(9,Table1[[#This Row],[Up Next Priority]:[Campus]])</f>
        <v>0</v>
      </c>
      <c r="AL329" s="52"/>
      <c r="AM329" s="42"/>
      <c r="AN329" s="43"/>
      <c r="AO329" s="44"/>
      <c r="AP329" s="44"/>
      <c r="AQ329" s="44"/>
      <c r="AR329" s="44"/>
      <c r="AS329" s="51"/>
      <c r="AT329" s="44"/>
      <c r="AU329" s="66">
        <f>SUM(Table1[[#This Row],[Org Impact Score]:[Tools]])</f>
        <v>0</v>
      </c>
      <c r="AV329" s="45"/>
      <c r="AW329" s="34"/>
      <c r="AX329" s="34"/>
      <c r="AY329" s="34"/>
    </row>
    <row r="330" spans="1:51">
      <c r="A330" s="31" t="s">
        <v>358</v>
      </c>
      <c r="B330" s="32" t="s">
        <v>195</v>
      </c>
      <c r="C330" s="32" t="b">
        <v>0</v>
      </c>
      <c r="D330" s="32" t="s">
        <v>357</v>
      </c>
      <c r="E330" s="32" t="s">
        <v>890</v>
      </c>
      <c r="F330" s="32" t="s">
        <v>891</v>
      </c>
      <c r="G330" s="32"/>
      <c r="H330" s="65" t="s">
        <v>359</v>
      </c>
      <c r="I330" s="33"/>
      <c r="J330" s="33"/>
      <c r="K330" s="33"/>
      <c r="L330" s="34"/>
      <c r="M330" s="6"/>
      <c r="N330" s="6"/>
      <c r="O330" s="6"/>
      <c r="P330" s="36"/>
      <c r="Q330" s="34"/>
      <c r="R330" s="34"/>
      <c r="S330" s="34"/>
      <c r="T330" s="37"/>
      <c r="U330" s="37"/>
      <c r="V330" s="38">
        <f>DATEDIF(Table1[[#This Row],[Sponsor*]],Table1[[#This Row],[Start Date*]],"d")</f>
        <v>0</v>
      </c>
      <c r="W330" s="62" t="e">
        <f>DATEDIF([1]!Table1[[#This Row],[Start Date*]],[1]!Table1[[#This Row],[End Date*]],"d")</f>
        <v>#VALUE!</v>
      </c>
      <c r="X330" s="39"/>
      <c r="Y330" s="34"/>
      <c r="Z330" s="34"/>
      <c r="AC330" s="34"/>
      <c r="AE330" s="34"/>
      <c r="AF330" s="40"/>
      <c r="AG330" s="34"/>
      <c r="AH330" s="34"/>
      <c r="AI330" s="34"/>
      <c r="AJ330" s="34"/>
      <c r="AK330" s="34">
        <f>SUBTOTAL(9,Table1[[#This Row],[Up Next Priority]:[Campus]])</f>
        <v>0</v>
      </c>
      <c r="AL330" s="52"/>
      <c r="AM330" s="42"/>
      <c r="AN330" s="43"/>
      <c r="AO330" s="44"/>
      <c r="AP330" s="44"/>
      <c r="AQ330" s="44"/>
      <c r="AR330" s="44"/>
      <c r="AS330" s="51"/>
      <c r="AT330" s="44"/>
      <c r="AU330" s="66">
        <f>SUM(Table1[[#This Row],[Org Impact Score]:[Tools]])</f>
        <v>0</v>
      </c>
      <c r="AV330" s="45"/>
      <c r="AW330" s="34"/>
      <c r="AX330" s="34"/>
      <c r="AY330" s="34"/>
    </row>
    <row r="331" spans="1:51">
      <c r="A331" s="31" t="s">
        <v>355</v>
      </c>
      <c r="B331" s="32" t="s">
        <v>195</v>
      </c>
      <c r="C331" s="32" t="b">
        <v>0</v>
      </c>
      <c r="D331" s="32" t="s">
        <v>354</v>
      </c>
      <c r="E331" s="32" t="s">
        <v>890</v>
      </c>
      <c r="F331" s="32" t="s">
        <v>891</v>
      </c>
      <c r="G331" s="32"/>
      <c r="H331" s="65" t="s">
        <v>356</v>
      </c>
      <c r="I331" s="33"/>
      <c r="J331" s="33"/>
      <c r="K331" s="33"/>
      <c r="L331" s="34"/>
      <c r="M331" s="6"/>
      <c r="N331" s="6"/>
      <c r="O331" s="6"/>
      <c r="P331" s="36"/>
      <c r="Q331" s="34"/>
      <c r="R331" s="34"/>
      <c r="S331" s="34"/>
      <c r="T331" s="37"/>
      <c r="U331" s="37"/>
      <c r="V331" s="38">
        <f>DATEDIF(Table1[[#This Row],[Sponsor*]],Table1[[#This Row],[Start Date*]],"d")</f>
        <v>0</v>
      </c>
      <c r="W331" s="62" t="e">
        <f>DATEDIF([1]!Table1[[#This Row],[Start Date*]],[1]!Table1[[#This Row],[End Date*]],"d")</f>
        <v>#VALUE!</v>
      </c>
      <c r="X331" s="39"/>
      <c r="Y331" s="34"/>
      <c r="Z331" s="34"/>
      <c r="AC331" s="34"/>
      <c r="AE331" s="34"/>
      <c r="AF331" s="40"/>
      <c r="AG331" s="34"/>
      <c r="AH331" s="34"/>
      <c r="AI331" s="34"/>
      <c r="AJ331" s="34"/>
      <c r="AK331" s="34">
        <f>SUBTOTAL(9,Table1[[#This Row],[Up Next Priority]:[Campus]])</f>
        <v>0</v>
      </c>
      <c r="AL331" s="52"/>
      <c r="AM331" s="42"/>
      <c r="AN331" s="43"/>
      <c r="AO331" s="44"/>
      <c r="AP331" s="44"/>
      <c r="AQ331" s="44"/>
      <c r="AR331" s="44"/>
      <c r="AS331" s="51"/>
      <c r="AT331" s="44"/>
      <c r="AU331" s="66">
        <f>SUM(Table1[[#This Row],[Org Impact Score]:[Tools]])</f>
        <v>0</v>
      </c>
      <c r="AV331" s="45"/>
      <c r="AW331" s="34"/>
      <c r="AX331" s="34"/>
      <c r="AY331" s="34"/>
    </row>
    <row r="332" spans="1:51">
      <c r="A332" s="31" t="s">
        <v>352</v>
      </c>
      <c r="B332" s="32" t="s">
        <v>195</v>
      </c>
      <c r="C332" s="32" t="b">
        <v>0</v>
      </c>
      <c r="D332" s="32" t="s">
        <v>351</v>
      </c>
      <c r="E332" s="32" t="s">
        <v>890</v>
      </c>
      <c r="F332" s="32" t="s">
        <v>891</v>
      </c>
      <c r="G332" s="32"/>
      <c r="H332" s="65" t="s">
        <v>353</v>
      </c>
      <c r="I332" s="33"/>
      <c r="J332" s="33"/>
      <c r="K332" s="33"/>
      <c r="L332" s="34"/>
      <c r="M332" s="6"/>
      <c r="N332" s="6"/>
      <c r="O332" s="6"/>
      <c r="P332" s="36"/>
      <c r="Q332" s="34"/>
      <c r="R332" s="34"/>
      <c r="S332" s="34"/>
      <c r="T332" s="37"/>
      <c r="U332" s="37"/>
      <c r="V332" s="38">
        <f>DATEDIF(Table1[[#This Row],[Sponsor*]],Table1[[#This Row],[Start Date*]],"d")</f>
        <v>0</v>
      </c>
      <c r="W332" s="62" t="e">
        <f>DATEDIF([1]!Table1[[#This Row],[Start Date*]],[1]!Table1[[#This Row],[End Date*]],"d")</f>
        <v>#VALUE!</v>
      </c>
      <c r="X332" s="39"/>
      <c r="Y332" s="34"/>
      <c r="Z332" s="34"/>
      <c r="AC332" s="34"/>
      <c r="AE332" s="34"/>
      <c r="AF332" s="40"/>
      <c r="AG332" s="34"/>
      <c r="AH332" s="34"/>
      <c r="AI332" s="34"/>
      <c r="AJ332" s="34"/>
      <c r="AK332" s="34">
        <f>SUBTOTAL(9,Table1[[#This Row],[Up Next Priority]:[Campus]])</f>
        <v>0</v>
      </c>
      <c r="AL332" s="52"/>
      <c r="AM332" s="42"/>
      <c r="AN332" s="43"/>
      <c r="AO332" s="44"/>
      <c r="AP332" s="44"/>
      <c r="AQ332" s="44"/>
      <c r="AR332" s="44"/>
      <c r="AS332" s="51"/>
      <c r="AT332" s="44"/>
      <c r="AU332" s="66">
        <f>SUM(Table1[[#This Row],[Org Impact Score]:[Tools]])</f>
        <v>0</v>
      </c>
      <c r="AV332" s="45"/>
      <c r="AW332" s="34"/>
      <c r="AX332" s="34"/>
      <c r="AY332" s="34"/>
    </row>
    <row r="333" spans="1:51">
      <c r="A333" s="31" t="s">
        <v>349</v>
      </c>
      <c r="B333" s="32" t="s">
        <v>195</v>
      </c>
      <c r="C333" s="32" t="b">
        <v>0</v>
      </c>
      <c r="D333" s="32" t="s">
        <v>348</v>
      </c>
      <c r="E333" s="32" t="s">
        <v>890</v>
      </c>
      <c r="F333" s="32" t="s">
        <v>891</v>
      </c>
      <c r="G333" s="32"/>
      <c r="H333" s="65" t="s">
        <v>350</v>
      </c>
      <c r="I333" s="33"/>
      <c r="J333" s="33"/>
      <c r="K333" s="33"/>
      <c r="L333" s="34"/>
      <c r="M333" s="6"/>
      <c r="N333" s="6"/>
      <c r="O333" s="6"/>
      <c r="P333" s="36"/>
      <c r="Q333" s="34"/>
      <c r="R333" s="34"/>
      <c r="S333" s="34"/>
      <c r="T333" s="37"/>
      <c r="U333" s="37"/>
      <c r="V333" s="38">
        <f>DATEDIF(Table1[[#This Row],[Sponsor*]],Table1[[#This Row],[Start Date*]],"d")</f>
        <v>0</v>
      </c>
      <c r="W333" s="62" t="e">
        <f>DATEDIF([1]!Table1[[#This Row],[Start Date*]],[1]!Table1[[#This Row],[End Date*]],"d")</f>
        <v>#VALUE!</v>
      </c>
      <c r="X333" s="39"/>
      <c r="Y333" s="34"/>
      <c r="Z333" s="34"/>
      <c r="AC333" s="34"/>
      <c r="AE333" s="34"/>
      <c r="AF333" s="40"/>
      <c r="AG333" s="34"/>
      <c r="AH333" s="34"/>
      <c r="AI333" s="34"/>
      <c r="AJ333" s="34"/>
      <c r="AK333" s="34">
        <f>SUBTOTAL(9,Table1[[#This Row],[Up Next Priority]:[Campus]])</f>
        <v>0</v>
      </c>
      <c r="AL333" s="52"/>
      <c r="AM333" s="42"/>
      <c r="AN333" s="43"/>
      <c r="AO333" s="44"/>
      <c r="AP333" s="44"/>
      <c r="AQ333" s="44"/>
      <c r="AR333" s="44"/>
      <c r="AS333" s="51"/>
      <c r="AT333" s="44"/>
      <c r="AU333" s="66">
        <f>SUM(Table1[[#This Row],[Org Impact Score]:[Tools]])</f>
        <v>0</v>
      </c>
      <c r="AV333" s="45"/>
      <c r="AW333" s="34"/>
      <c r="AX333" s="34"/>
      <c r="AY333" s="34"/>
    </row>
    <row r="334" spans="1:51">
      <c r="A334" s="31" t="s">
        <v>346</v>
      </c>
      <c r="B334" s="32" t="s">
        <v>195</v>
      </c>
      <c r="C334" s="32" t="b">
        <v>0</v>
      </c>
      <c r="D334" s="32" t="s">
        <v>345</v>
      </c>
      <c r="E334" s="32" t="s">
        <v>890</v>
      </c>
      <c r="F334" s="32" t="s">
        <v>891</v>
      </c>
      <c r="G334" s="32"/>
      <c r="H334" s="65" t="s">
        <v>347</v>
      </c>
      <c r="I334" s="33"/>
      <c r="J334" s="33"/>
      <c r="K334" s="33"/>
      <c r="L334" s="34"/>
      <c r="M334" s="6"/>
      <c r="N334" s="6"/>
      <c r="O334" s="6"/>
      <c r="P334" s="36"/>
      <c r="Q334" s="34"/>
      <c r="R334" s="34"/>
      <c r="S334" s="34"/>
      <c r="T334" s="37"/>
      <c r="U334" s="37"/>
      <c r="V334" s="38">
        <f>DATEDIF(Table1[[#This Row],[Sponsor*]],Table1[[#This Row],[Start Date*]],"d")</f>
        <v>0</v>
      </c>
      <c r="W334" s="62" t="e">
        <f>DATEDIF([1]!Table1[[#This Row],[Start Date*]],[1]!Table1[[#This Row],[End Date*]],"d")</f>
        <v>#VALUE!</v>
      </c>
      <c r="X334" s="39"/>
      <c r="Y334" s="34"/>
      <c r="Z334" s="34"/>
      <c r="AC334" s="34"/>
      <c r="AE334" s="34"/>
      <c r="AF334" s="40"/>
      <c r="AG334" s="34"/>
      <c r="AH334" s="34"/>
      <c r="AI334" s="34"/>
      <c r="AJ334" s="34"/>
      <c r="AK334" s="34">
        <f>SUBTOTAL(9,Table1[[#This Row],[Up Next Priority]:[Campus]])</f>
        <v>0</v>
      </c>
      <c r="AL334" s="52"/>
      <c r="AM334" s="42"/>
      <c r="AN334" s="43"/>
      <c r="AO334" s="44"/>
      <c r="AP334" s="44"/>
      <c r="AQ334" s="44"/>
      <c r="AR334" s="44"/>
      <c r="AS334" s="51"/>
      <c r="AT334" s="44"/>
      <c r="AU334" s="66">
        <f>SUM(Table1[[#This Row],[Org Impact Score]:[Tools]])</f>
        <v>0</v>
      </c>
      <c r="AV334" s="45"/>
      <c r="AW334" s="34"/>
      <c r="AX334" s="34"/>
      <c r="AY334" s="34"/>
    </row>
    <row r="335" spans="1:51">
      <c r="A335" s="31" t="s">
        <v>343</v>
      </c>
      <c r="B335" s="32" t="s">
        <v>195</v>
      </c>
      <c r="C335" s="32" t="b">
        <v>0</v>
      </c>
      <c r="D335" s="32" t="s">
        <v>342</v>
      </c>
      <c r="E335" s="32" t="s">
        <v>890</v>
      </c>
      <c r="F335" s="32" t="s">
        <v>891</v>
      </c>
      <c r="G335" s="32"/>
      <c r="H335" s="65" t="s">
        <v>344</v>
      </c>
      <c r="I335" s="33"/>
      <c r="J335" s="33"/>
      <c r="K335" s="33"/>
      <c r="L335" s="34"/>
      <c r="M335" s="6"/>
      <c r="N335" s="6"/>
      <c r="O335" s="6"/>
      <c r="P335" s="36"/>
      <c r="Q335" s="34"/>
      <c r="R335" s="34"/>
      <c r="S335" s="34"/>
      <c r="T335" s="37"/>
      <c r="U335" s="37"/>
      <c r="V335" s="38">
        <f>DATEDIF(Table1[[#This Row],[Sponsor*]],Table1[[#This Row],[Start Date*]],"d")</f>
        <v>0</v>
      </c>
      <c r="W335" s="62" t="e">
        <f>DATEDIF([1]!Table1[[#This Row],[Start Date*]],[1]!Table1[[#This Row],[End Date*]],"d")</f>
        <v>#VALUE!</v>
      </c>
      <c r="X335" s="39"/>
      <c r="Y335" s="34"/>
      <c r="Z335" s="34"/>
      <c r="AC335" s="34"/>
      <c r="AE335" s="34"/>
      <c r="AF335" s="40"/>
      <c r="AG335" s="34"/>
      <c r="AH335" s="34"/>
      <c r="AI335" s="34"/>
      <c r="AJ335" s="34"/>
      <c r="AK335" s="34">
        <f>SUBTOTAL(9,Table1[[#This Row],[Up Next Priority]:[Campus]])</f>
        <v>0</v>
      </c>
      <c r="AL335" s="52"/>
      <c r="AM335" s="42"/>
      <c r="AN335" s="43"/>
      <c r="AO335" s="44"/>
      <c r="AP335" s="44"/>
      <c r="AQ335" s="44"/>
      <c r="AR335" s="44"/>
      <c r="AS335" s="51"/>
      <c r="AT335" s="44"/>
      <c r="AU335" s="66">
        <f>SUM(Table1[[#This Row],[Org Impact Score]:[Tools]])</f>
        <v>0</v>
      </c>
      <c r="AV335" s="45"/>
      <c r="AW335" s="34"/>
      <c r="AX335" s="34"/>
      <c r="AY335" s="34"/>
    </row>
    <row r="336" spans="1:51">
      <c r="A336" s="31" t="s">
        <v>340</v>
      </c>
      <c r="B336" s="32" t="s">
        <v>195</v>
      </c>
      <c r="C336" s="32" t="b">
        <v>0</v>
      </c>
      <c r="D336" s="32" t="s">
        <v>339</v>
      </c>
      <c r="E336" s="32" t="s">
        <v>890</v>
      </c>
      <c r="F336" s="32" t="s">
        <v>891</v>
      </c>
      <c r="G336" s="32"/>
      <c r="H336" s="65" t="s">
        <v>341</v>
      </c>
      <c r="I336" s="33"/>
      <c r="J336" s="33"/>
      <c r="K336" s="33"/>
      <c r="L336" s="34"/>
      <c r="M336" s="6"/>
      <c r="N336" s="6"/>
      <c r="O336" s="6"/>
      <c r="P336" s="36"/>
      <c r="Q336" s="34"/>
      <c r="R336" s="34"/>
      <c r="S336" s="34"/>
      <c r="T336" s="37"/>
      <c r="U336" s="37"/>
      <c r="V336" s="38">
        <f>DATEDIF(Table1[[#This Row],[Sponsor*]],Table1[[#This Row],[Start Date*]],"d")</f>
        <v>0</v>
      </c>
      <c r="W336" s="62" t="e">
        <f>DATEDIF([1]!Table1[[#This Row],[Start Date*]],[1]!Table1[[#This Row],[End Date*]],"d")</f>
        <v>#VALUE!</v>
      </c>
      <c r="X336" s="39"/>
      <c r="Y336" s="34"/>
      <c r="Z336" s="34"/>
      <c r="AC336" s="34"/>
      <c r="AE336" s="34"/>
      <c r="AF336" s="40"/>
      <c r="AG336" s="34"/>
      <c r="AH336" s="34"/>
      <c r="AI336" s="34"/>
      <c r="AJ336" s="34"/>
      <c r="AK336" s="34">
        <f>SUBTOTAL(9,Table1[[#This Row],[Up Next Priority]:[Campus]])</f>
        <v>0</v>
      </c>
      <c r="AL336" s="52"/>
      <c r="AM336" s="42"/>
      <c r="AN336" s="43"/>
      <c r="AO336" s="44"/>
      <c r="AP336" s="44"/>
      <c r="AQ336" s="44"/>
      <c r="AR336" s="44"/>
      <c r="AS336" s="51"/>
      <c r="AT336" s="44"/>
      <c r="AU336" s="66">
        <f>SUM(Table1[[#This Row],[Org Impact Score]:[Tools]])</f>
        <v>0</v>
      </c>
      <c r="AV336" s="45"/>
      <c r="AW336" s="34"/>
      <c r="AX336" s="34"/>
      <c r="AY336" s="34"/>
    </row>
    <row r="337" spans="1:51">
      <c r="A337" s="31" t="s">
        <v>337</v>
      </c>
      <c r="B337" s="32" t="s">
        <v>195</v>
      </c>
      <c r="C337" s="32" t="b">
        <v>0</v>
      </c>
      <c r="D337" s="32" t="s">
        <v>336</v>
      </c>
      <c r="E337" s="32" t="s">
        <v>890</v>
      </c>
      <c r="F337" s="32" t="s">
        <v>891</v>
      </c>
      <c r="G337" s="32"/>
      <c r="H337" s="65" t="s">
        <v>338</v>
      </c>
      <c r="I337" s="33"/>
      <c r="J337" s="33"/>
      <c r="K337" s="33"/>
      <c r="L337" s="34"/>
      <c r="M337" s="6"/>
      <c r="N337" s="6"/>
      <c r="O337" s="6"/>
      <c r="P337" s="36"/>
      <c r="Q337" s="34"/>
      <c r="R337" s="34"/>
      <c r="S337" s="34"/>
      <c r="T337" s="37"/>
      <c r="U337" s="37"/>
      <c r="V337" s="38">
        <f>DATEDIF(Table1[[#This Row],[Sponsor*]],Table1[[#This Row],[Start Date*]],"d")</f>
        <v>0</v>
      </c>
      <c r="W337" s="62" t="e">
        <f>DATEDIF([1]!Table1[[#This Row],[Start Date*]],[1]!Table1[[#This Row],[End Date*]],"d")</f>
        <v>#VALUE!</v>
      </c>
      <c r="X337" s="39"/>
      <c r="Y337" s="34"/>
      <c r="Z337" s="34"/>
      <c r="AC337" s="34"/>
      <c r="AE337" s="34"/>
      <c r="AF337" s="40"/>
      <c r="AG337" s="34"/>
      <c r="AH337" s="34"/>
      <c r="AI337" s="34"/>
      <c r="AJ337" s="34"/>
      <c r="AK337" s="34">
        <f>SUBTOTAL(9,Table1[[#This Row],[Up Next Priority]:[Campus]])</f>
        <v>0</v>
      </c>
      <c r="AL337" s="52"/>
      <c r="AM337" s="42"/>
      <c r="AN337" s="43"/>
      <c r="AO337" s="44"/>
      <c r="AP337" s="44"/>
      <c r="AQ337" s="44"/>
      <c r="AR337" s="44"/>
      <c r="AS337" s="51"/>
      <c r="AT337" s="44"/>
      <c r="AU337" s="66">
        <f>SUM(Table1[[#This Row],[Org Impact Score]:[Tools]])</f>
        <v>0</v>
      </c>
      <c r="AV337" s="45"/>
      <c r="AW337" s="34"/>
      <c r="AX337" s="34"/>
      <c r="AY337" s="34"/>
    </row>
    <row r="338" spans="1:51">
      <c r="A338" s="31" t="s">
        <v>334</v>
      </c>
      <c r="B338" s="32" t="s">
        <v>195</v>
      </c>
      <c r="C338" s="32" t="b">
        <v>0</v>
      </c>
      <c r="D338" s="32" t="s">
        <v>333</v>
      </c>
      <c r="E338" s="32" t="s">
        <v>890</v>
      </c>
      <c r="F338" s="32" t="s">
        <v>891</v>
      </c>
      <c r="G338" s="32"/>
      <c r="H338" s="65" t="s">
        <v>335</v>
      </c>
      <c r="I338" s="33"/>
      <c r="J338" s="33"/>
      <c r="K338" s="33"/>
      <c r="L338" s="34"/>
      <c r="M338" s="6"/>
      <c r="N338" s="6"/>
      <c r="O338" s="6"/>
      <c r="P338" s="36"/>
      <c r="Q338" s="34"/>
      <c r="R338" s="34"/>
      <c r="S338" s="34"/>
      <c r="T338" s="37"/>
      <c r="U338" s="37"/>
      <c r="V338" s="38">
        <f>DATEDIF(Table1[[#This Row],[Sponsor*]],Table1[[#This Row],[Start Date*]],"d")</f>
        <v>0</v>
      </c>
      <c r="W338" s="62" t="e">
        <f>DATEDIF([1]!Table1[[#This Row],[Start Date*]],[1]!Table1[[#This Row],[End Date*]],"d")</f>
        <v>#VALUE!</v>
      </c>
      <c r="X338" s="39"/>
      <c r="Y338" s="34"/>
      <c r="Z338" s="34"/>
      <c r="AC338" s="34"/>
      <c r="AE338" s="34"/>
      <c r="AF338" s="40"/>
      <c r="AG338" s="34"/>
      <c r="AH338" s="34"/>
      <c r="AI338" s="34"/>
      <c r="AJ338" s="34"/>
      <c r="AK338" s="34">
        <f>SUBTOTAL(9,Table1[[#This Row],[Up Next Priority]:[Campus]])</f>
        <v>0</v>
      </c>
      <c r="AL338" s="52"/>
      <c r="AM338" s="42"/>
      <c r="AN338" s="43"/>
      <c r="AO338" s="44"/>
      <c r="AP338" s="44"/>
      <c r="AQ338" s="44"/>
      <c r="AR338" s="44"/>
      <c r="AS338" s="51"/>
      <c r="AT338" s="44"/>
      <c r="AU338" s="66">
        <f>SUM(Table1[[#This Row],[Org Impact Score]:[Tools]])</f>
        <v>0</v>
      </c>
      <c r="AV338" s="45"/>
      <c r="AW338" s="34"/>
      <c r="AX338" s="34"/>
      <c r="AY338" s="34"/>
    </row>
    <row r="339" spans="1:51">
      <c r="A339" s="31" t="s">
        <v>331</v>
      </c>
      <c r="B339" s="32" t="s">
        <v>195</v>
      </c>
      <c r="C339" s="32" t="b">
        <v>0</v>
      </c>
      <c r="D339" s="32" t="s">
        <v>330</v>
      </c>
      <c r="E339" s="32" t="s">
        <v>890</v>
      </c>
      <c r="F339" s="32" t="s">
        <v>891</v>
      </c>
      <c r="G339" s="32"/>
      <c r="H339" s="65" t="s">
        <v>332</v>
      </c>
      <c r="I339" s="33"/>
      <c r="J339" s="33"/>
      <c r="K339" s="33"/>
      <c r="L339" s="34"/>
      <c r="M339" s="6"/>
      <c r="N339" s="6"/>
      <c r="O339" s="6"/>
      <c r="P339" s="36"/>
      <c r="Q339" s="34"/>
      <c r="R339" s="34"/>
      <c r="S339" s="34"/>
      <c r="T339" s="37"/>
      <c r="U339" s="37"/>
      <c r="V339" s="38">
        <f>DATEDIF(Table1[[#This Row],[Sponsor*]],Table1[[#This Row],[Start Date*]],"d")</f>
        <v>0</v>
      </c>
      <c r="W339" s="62" t="e">
        <f>DATEDIF([1]!Table1[[#This Row],[Start Date*]],[1]!Table1[[#This Row],[End Date*]],"d")</f>
        <v>#VALUE!</v>
      </c>
      <c r="X339" s="39"/>
      <c r="Y339" s="34"/>
      <c r="Z339" s="34"/>
      <c r="AC339" s="34"/>
      <c r="AE339" s="34"/>
      <c r="AF339" s="40"/>
      <c r="AG339" s="34"/>
      <c r="AH339" s="34"/>
      <c r="AI339" s="34"/>
      <c r="AJ339" s="34"/>
      <c r="AK339" s="34">
        <f>SUBTOTAL(9,Table1[[#This Row],[Up Next Priority]:[Campus]])</f>
        <v>0</v>
      </c>
      <c r="AL339" s="52"/>
      <c r="AM339" s="42"/>
      <c r="AN339" s="43"/>
      <c r="AO339" s="44"/>
      <c r="AP339" s="44"/>
      <c r="AQ339" s="44"/>
      <c r="AR339" s="44"/>
      <c r="AS339" s="51"/>
      <c r="AT339" s="44"/>
      <c r="AU339" s="66">
        <f>SUM(Table1[[#This Row],[Org Impact Score]:[Tools]])</f>
        <v>0</v>
      </c>
      <c r="AV339" s="45"/>
      <c r="AW339" s="34"/>
      <c r="AX339" s="34"/>
      <c r="AY339" s="34"/>
    </row>
    <row r="340" spans="1:51">
      <c r="A340" s="31" t="s">
        <v>328</v>
      </c>
      <c r="B340" s="32" t="s">
        <v>195</v>
      </c>
      <c r="C340" s="32" t="b">
        <v>0</v>
      </c>
      <c r="D340" s="32" t="s">
        <v>327</v>
      </c>
      <c r="E340" s="32" t="s">
        <v>890</v>
      </c>
      <c r="F340" s="32" t="s">
        <v>891</v>
      </c>
      <c r="G340" s="32"/>
      <c r="H340" s="65" t="s">
        <v>329</v>
      </c>
      <c r="I340" s="33"/>
      <c r="J340" s="33"/>
      <c r="K340" s="33"/>
      <c r="L340" s="34"/>
      <c r="M340" s="6"/>
      <c r="N340" s="6"/>
      <c r="O340" s="6"/>
      <c r="P340" s="36"/>
      <c r="Q340" s="34"/>
      <c r="R340" s="34"/>
      <c r="S340" s="34"/>
      <c r="T340" s="37"/>
      <c r="U340" s="37"/>
      <c r="V340" s="38">
        <f>DATEDIF(Table1[[#This Row],[Sponsor*]],Table1[[#This Row],[Start Date*]],"d")</f>
        <v>0</v>
      </c>
      <c r="W340" s="62" t="e">
        <f>DATEDIF([1]!Table1[[#This Row],[Start Date*]],[1]!Table1[[#This Row],[End Date*]],"d")</f>
        <v>#VALUE!</v>
      </c>
      <c r="X340" s="39"/>
      <c r="Y340" s="34"/>
      <c r="Z340" s="34"/>
      <c r="AC340" s="34"/>
      <c r="AE340" s="34"/>
      <c r="AF340" s="40"/>
      <c r="AG340" s="34"/>
      <c r="AH340" s="34"/>
      <c r="AI340" s="34"/>
      <c r="AJ340" s="34"/>
      <c r="AK340" s="34">
        <f>SUBTOTAL(9,Table1[[#This Row],[Up Next Priority]:[Campus]])</f>
        <v>0</v>
      </c>
      <c r="AL340" s="52"/>
      <c r="AM340" s="42"/>
      <c r="AN340" s="43"/>
      <c r="AO340" s="44"/>
      <c r="AP340" s="44"/>
      <c r="AQ340" s="44"/>
      <c r="AR340" s="44"/>
      <c r="AS340" s="51"/>
      <c r="AT340" s="44"/>
      <c r="AU340" s="66">
        <f>SUM(Table1[[#This Row],[Org Impact Score]:[Tools]])</f>
        <v>0</v>
      </c>
      <c r="AV340" s="45"/>
      <c r="AW340" s="34"/>
      <c r="AX340" s="34"/>
      <c r="AY340" s="34"/>
    </row>
    <row r="341" spans="1:51">
      <c r="A341" s="31" t="s">
        <v>325</v>
      </c>
      <c r="B341" s="32" t="s">
        <v>195</v>
      </c>
      <c r="C341" s="32" t="b">
        <v>0</v>
      </c>
      <c r="D341" s="32" t="s">
        <v>324</v>
      </c>
      <c r="E341" s="32" t="s">
        <v>890</v>
      </c>
      <c r="F341" s="32" t="s">
        <v>891</v>
      </c>
      <c r="G341" s="32"/>
      <c r="H341" s="65" t="s">
        <v>326</v>
      </c>
      <c r="I341" s="33"/>
      <c r="J341" s="33"/>
      <c r="K341" s="33"/>
      <c r="L341" s="34"/>
      <c r="M341" s="6"/>
      <c r="N341" s="6"/>
      <c r="O341" s="6"/>
      <c r="P341" s="36"/>
      <c r="Q341" s="34"/>
      <c r="R341" s="34"/>
      <c r="S341" s="34"/>
      <c r="T341" s="37"/>
      <c r="U341" s="37"/>
      <c r="V341" s="38">
        <f>DATEDIF(Table1[[#This Row],[Sponsor*]],Table1[[#This Row],[Start Date*]],"d")</f>
        <v>0</v>
      </c>
      <c r="W341" s="62" t="e">
        <f>DATEDIF([1]!Table1[[#This Row],[Start Date*]],[1]!Table1[[#This Row],[End Date*]],"d")</f>
        <v>#VALUE!</v>
      </c>
      <c r="X341" s="39"/>
      <c r="Y341" s="34"/>
      <c r="Z341" s="34"/>
      <c r="AC341" s="34"/>
      <c r="AE341" s="34"/>
      <c r="AF341" s="40"/>
      <c r="AG341" s="34"/>
      <c r="AH341" s="34"/>
      <c r="AI341" s="34"/>
      <c r="AJ341" s="34"/>
      <c r="AK341" s="34">
        <f>SUBTOTAL(9,Table1[[#This Row],[Up Next Priority]:[Campus]])</f>
        <v>0</v>
      </c>
      <c r="AL341" s="52"/>
      <c r="AM341" s="42"/>
      <c r="AN341" s="43"/>
      <c r="AO341" s="44"/>
      <c r="AP341" s="44"/>
      <c r="AQ341" s="44"/>
      <c r="AR341" s="44"/>
      <c r="AS341" s="51"/>
      <c r="AT341" s="44"/>
      <c r="AU341" s="66">
        <f>SUM(Table1[[#This Row],[Org Impact Score]:[Tools]])</f>
        <v>0</v>
      </c>
      <c r="AV341" s="45"/>
      <c r="AW341" s="34"/>
      <c r="AX341" s="34"/>
      <c r="AY341" s="34"/>
    </row>
    <row r="342" spans="1:51">
      <c r="A342" s="31" t="s">
        <v>322</v>
      </c>
      <c r="B342" s="32" t="s">
        <v>195</v>
      </c>
      <c r="C342" s="32" t="b">
        <v>0</v>
      </c>
      <c r="D342" s="32" t="s">
        <v>321</v>
      </c>
      <c r="E342" s="32" t="s">
        <v>890</v>
      </c>
      <c r="F342" s="32" t="s">
        <v>891</v>
      </c>
      <c r="G342" s="32" t="s">
        <v>913</v>
      </c>
      <c r="H342" s="65" t="s">
        <v>323</v>
      </c>
      <c r="I342" s="33"/>
      <c r="J342" s="33"/>
      <c r="K342" s="33"/>
      <c r="L342" s="34"/>
      <c r="M342" s="6"/>
      <c r="N342" s="6"/>
      <c r="O342" s="6"/>
      <c r="P342" s="36"/>
      <c r="Q342" s="34"/>
      <c r="R342" s="34"/>
      <c r="S342" s="34"/>
      <c r="T342" s="37"/>
      <c r="U342" s="37"/>
      <c r="V342" s="38">
        <f>DATEDIF(Table1[[#This Row],[Sponsor*]],Table1[[#This Row],[Start Date*]],"d")</f>
        <v>0</v>
      </c>
      <c r="W342" s="62" t="e">
        <f>DATEDIF([1]!Table1[[#This Row],[Start Date*]],[1]!Table1[[#This Row],[End Date*]],"d")</f>
        <v>#VALUE!</v>
      </c>
      <c r="X342" s="39"/>
      <c r="Y342" s="34"/>
      <c r="Z342" s="34"/>
      <c r="AC342" s="34"/>
      <c r="AE342" s="34"/>
      <c r="AF342" s="40"/>
      <c r="AG342" s="34"/>
      <c r="AH342" s="34"/>
      <c r="AI342" s="34"/>
      <c r="AJ342" s="34"/>
      <c r="AK342" s="34">
        <f>SUBTOTAL(9,Table1[[#This Row],[Up Next Priority]:[Campus]])</f>
        <v>0</v>
      </c>
      <c r="AL342" s="52"/>
      <c r="AM342" s="42"/>
      <c r="AN342" s="43"/>
      <c r="AO342" s="44"/>
      <c r="AP342" s="44"/>
      <c r="AQ342" s="44"/>
      <c r="AR342" s="44"/>
      <c r="AS342" s="51"/>
      <c r="AT342" s="44"/>
      <c r="AU342" s="66">
        <f>SUM(Table1[[#This Row],[Org Impact Score]:[Tools]])</f>
        <v>0</v>
      </c>
      <c r="AV342" s="45"/>
      <c r="AW342" s="34"/>
      <c r="AX342" s="34"/>
      <c r="AY342" s="34"/>
    </row>
    <row r="343" spans="1:51">
      <c r="A343" s="31" t="s">
        <v>319</v>
      </c>
      <c r="B343" s="32" t="s">
        <v>195</v>
      </c>
      <c r="C343" s="32" t="b">
        <v>0</v>
      </c>
      <c r="D343" s="32" t="s">
        <v>318</v>
      </c>
      <c r="E343" s="32" t="s">
        <v>890</v>
      </c>
      <c r="F343" s="32" t="s">
        <v>891</v>
      </c>
      <c r="G343" s="32"/>
      <c r="H343" s="65" t="s">
        <v>320</v>
      </c>
      <c r="I343" s="33"/>
      <c r="J343" s="33"/>
      <c r="K343" s="33"/>
      <c r="L343" s="34"/>
      <c r="M343" s="6"/>
      <c r="N343" s="6"/>
      <c r="O343" s="6"/>
      <c r="P343" s="36"/>
      <c r="Q343" s="34"/>
      <c r="R343" s="34"/>
      <c r="S343" s="34"/>
      <c r="T343" s="37"/>
      <c r="U343" s="37"/>
      <c r="V343" s="38">
        <f>DATEDIF(Table1[[#This Row],[Sponsor*]],Table1[[#This Row],[Start Date*]],"d")</f>
        <v>0</v>
      </c>
      <c r="W343" s="62" t="e">
        <f>DATEDIF([1]!Table1[[#This Row],[Start Date*]],[1]!Table1[[#This Row],[End Date*]],"d")</f>
        <v>#VALUE!</v>
      </c>
      <c r="X343" s="39"/>
      <c r="Y343" s="34"/>
      <c r="Z343" s="34"/>
      <c r="AC343" s="34"/>
      <c r="AE343" s="34"/>
      <c r="AF343" s="40"/>
      <c r="AG343" s="34"/>
      <c r="AH343" s="34"/>
      <c r="AI343" s="34"/>
      <c r="AJ343" s="34"/>
      <c r="AK343" s="34">
        <f>SUBTOTAL(9,Table1[[#This Row],[Up Next Priority]:[Campus]])</f>
        <v>0</v>
      </c>
      <c r="AL343" s="52"/>
      <c r="AM343" s="42"/>
      <c r="AN343" s="43"/>
      <c r="AO343" s="44"/>
      <c r="AP343" s="44"/>
      <c r="AQ343" s="44"/>
      <c r="AR343" s="44"/>
      <c r="AS343" s="51"/>
      <c r="AT343" s="44"/>
      <c r="AU343" s="66">
        <f>SUM(Table1[[#This Row],[Org Impact Score]:[Tools]])</f>
        <v>0</v>
      </c>
      <c r="AV343" s="45"/>
      <c r="AW343" s="34"/>
      <c r="AX343" s="34"/>
      <c r="AY343" s="34"/>
    </row>
    <row r="344" spans="1:51">
      <c r="A344" s="31" t="s">
        <v>316</v>
      </c>
      <c r="B344" s="32" t="s">
        <v>195</v>
      </c>
      <c r="C344" s="32" t="b">
        <v>0</v>
      </c>
      <c r="D344" s="32" t="s">
        <v>315</v>
      </c>
      <c r="E344" s="32" t="s">
        <v>890</v>
      </c>
      <c r="F344" s="32" t="s">
        <v>891</v>
      </c>
      <c r="G344" s="32"/>
      <c r="H344" s="65" t="s">
        <v>317</v>
      </c>
      <c r="I344" s="33"/>
      <c r="J344" s="33"/>
      <c r="K344" s="33"/>
      <c r="L344" s="34"/>
      <c r="M344" s="6"/>
      <c r="N344" s="6"/>
      <c r="O344" s="6"/>
      <c r="P344" s="36"/>
      <c r="Q344" s="34"/>
      <c r="R344" s="34"/>
      <c r="S344" s="34"/>
      <c r="T344" s="37"/>
      <c r="U344" s="37"/>
      <c r="V344" s="38">
        <f>DATEDIF(Table1[[#This Row],[Sponsor*]],Table1[[#This Row],[Start Date*]],"d")</f>
        <v>0</v>
      </c>
      <c r="W344" s="62" t="e">
        <f>DATEDIF([1]!Table1[[#This Row],[Start Date*]],[1]!Table1[[#This Row],[End Date*]],"d")</f>
        <v>#VALUE!</v>
      </c>
      <c r="X344" s="39"/>
      <c r="Y344" s="34"/>
      <c r="Z344" s="34"/>
      <c r="AC344" s="34"/>
      <c r="AE344" s="34"/>
      <c r="AF344" s="40"/>
      <c r="AG344" s="34"/>
      <c r="AH344" s="34"/>
      <c r="AI344" s="34"/>
      <c r="AJ344" s="34"/>
      <c r="AK344" s="34">
        <f>SUBTOTAL(9,Table1[[#This Row],[Up Next Priority]:[Campus]])</f>
        <v>0</v>
      </c>
      <c r="AL344" s="52"/>
      <c r="AM344" s="42"/>
      <c r="AN344" s="43"/>
      <c r="AO344" s="44"/>
      <c r="AP344" s="44"/>
      <c r="AQ344" s="44"/>
      <c r="AR344" s="44"/>
      <c r="AS344" s="51"/>
      <c r="AT344" s="44"/>
      <c r="AU344" s="66">
        <f>SUM(Table1[[#This Row],[Org Impact Score]:[Tools]])</f>
        <v>0</v>
      </c>
      <c r="AV344" s="45"/>
      <c r="AW344" s="34"/>
      <c r="AX344" s="34"/>
      <c r="AY344" s="34"/>
    </row>
    <row r="345" spans="1:51">
      <c r="A345" s="31" t="s">
        <v>313</v>
      </c>
      <c r="B345" s="32" t="s">
        <v>195</v>
      </c>
      <c r="C345" s="32" t="b">
        <v>0</v>
      </c>
      <c r="D345" s="32" t="s">
        <v>312</v>
      </c>
      <c r="E345" s="32" t="s">
        <v>890</v>
      </c>
      <c r="F345" s="32" t="s">
        <v>891</v>
      </c>
      <c r="G345" s="32" t="s">
        <v>912</v>
      </c>
      <c r="H345" s="65" t="s">
        <v>314</v>
      </c>
      <c r="I345" s="33"/>
      <c r="J345" s="33"/>
      <c r="K345" s="33"/>
      <c r="L345" s="34"/>
      <c r="M345" s="6"/>
      <c r="N345" s="6"/>
      <c r="O345" s="6"/>
      <c r="P345" s="36"/>
      <c r="Q345" s="34"/>
      <c r="R345" s="34"/>
      <c r="S345" s="34"/>
      <c r="T345" s="37"/>
      <c r="U345" s="37"/>
      <c r="V345" s="38">
        <f>DATEDIF(Table1[[#This Row],[Sponsor*]],Table1[[#This Row],[Start Date*]],"d")</f>
        <v>0</v>
      </c>
      <c r="W345" s="62" t="e">
        <f>DATEDIF([1]!Table1[[#This Row],[Start Date*]],[1]!Table1[[#This Row],[End Date*]],"d")</f>
        <v>#VALUE!</v>
      </c>
      <c r="X345" s="39"/>
      <c r="Y345" s="34"/>
      <c r="Z345" s="34"/>
      <c r="AC345" s="34"/>
      <c r="AE345" s="34"/>
      <c r="AF345" s="40"/>
      <c r="AG345" s="34"/>
      <c r="AH345" s="34"/>
      <c r="AI345" s="34"/>
      <c r="AJ345" s="34"/>
      <c r="AK345" s="34">
        <f>SUBTOTAL(9,Table1[[#This Row],[Up Next Priority]:[Campus]])</f>
        <v>0</v>
      </c>
      <c r="AL345" s="52"/>
      <c r="AM345" s="42"/>
      <c r="AN345" s="43"/>
      <c r="AO345" s="44"/>
      <c r="AP345" s="44"/>
      <c r="AQ345" s="44"/>
      <c r="AR345" s="44"/>
      <c r="AS345" s="51"/>
      <c r="AT345" s="44"/>
      <c r="AU345" s="66">
        <f>SUM(Table1[[#This Row],[Org Impact Score]:[Tools]])</f>
        <v>0</v>
      </c>
      <c r="AV345" s="45"/>
      <c r="AW345" s="34"/>
      <c r="AX345" s="34"/>
      <c r="AY345" s="34"/>
    </row>
    <row r="346" spans="1:51">
      <c r="A346" s="31" t="s">
        <v>310</v>
      </c>
      <c r="B346" s="32" t="s">
        <v>195</v>
      </c>
      <c r="C346" s="32" t="b">
        <v>0</v>
      </c>
      <c r="D346" s="32" t="s">
        <v>309</v>
      </c>
      <c r="E346" s="32" t="s">
        <v>890</v>
      </c>
      <c r="F346" s="32" t="s">
        <v>891</v>
      </c>
      <c r="G346" s="32"/>
      <c r="H346" s="65" t="s">
        <v>311</v>
      </c>
      <c r="I346" s="33"/>
      <c r="J346" s="33"/>
      <c r="K346" s="33"/>
      <c r="L346" s="34"/>
      <c r="M346" s="6"/>
      <c r="N346" s="6"/>
      <c r="O346" s="6"/>
      <c r="P346" s="36"/>
      <c r="Q346" s="34"/>
      <c r="R346" s="34"/>
      <c r="S346" s="34"/>
      <c r="T346" s="37"/>
      <c r="U346" s="37"/>
      <c r="V346" s="38">
        <f>DATEDIF(Table1[[#This Row],[Sponsor*]],Table1[[#This Row],[Start Date*]],"d")</f>
        <v>0</v>
      </c>
      <c r="W346" s="62" t="e">
        <f>DATEDIF([1]!Table1[[#This Row],[Start Date*]],[1]!Table1[[#This Row],[End Date*]],"d")</f>
        <v>#VALUE!</v>
      </c>
      <c r="X346" s="39"/>
      <c r="Y346" s="34"/>
      <c r="Z346" s="34"/>
      <c r="AC346" s="34"/>
      <c r="AE346" s="34"/>
      <c r="AF346" s="40"/>
      <c r="AG346" s="34"/>
      <c r="AH346" s="34"/>
      <c r="AI346" s="34"/>
      <c r="AJ346" s="34"/>
      <c r="AK346" s="34">
        <f>SUBTOTAL(9,Table1[[#This Row],[Up Next Priority]:[Campus]])</f>
        <v>0</v>
      </c>
      <c r="AL346" s="52"/>
      <c r="AM346" s="42"/>
      <c r="AN346" s="43"/>
      <c r="AO346" s="44"/>
      <c r="AP346" s="44"/>
      <c r="AQ346" s="44"/>
      <c r="AR346" s="44"/>
      <c r="AS346" s="51"/>
      <c r="AT346" s="44"/>
      <c r="AU346" s="66">
        <f>SUM(Table1[[#This Row],[Org Impact Score]:[Tools]])</f>
        <v>0</v>
      </c>
      <c r="AV346" s="45"/>
      <c r="AW346" s="34"/>
      <c r="AX346" s="34"/>
      <c r="AY346" s="34"/>
    </row>
    <row r="347" spans="1:51">
      <c r="A347" s="31" t="s">
        <v>307</v>
      </c>
      <c r="B347" s="32" t="s">
        <v>195</v>
      </c>
      <c r="C347" s="32" t="b">
        <v>0</v>
      </c>
      <c r="D347" s="56" t="s">
        <v>306</v>
      </c>
      <c r="E347" s="32" t="s">
        <v>890</v>
      </c>
      <c r="F347" s="32" t="s">
        <v>891</v>
      </c>
      <c r="G347" s="32"/>
      <c r="H347" s="65" t="s">
        <v>308</v>
      </c>
      <c r="I347" s="33"/>
      <c r="J347" s="33"/>
      <c r="K347" s="33"/>
      <c r="L347" s="34"/>
      <c r="M347" s="6"/>
      <c r="N347" s="6"/>
      <c r="O347" s="6"/>
      <c r="P347" s="36"/>
      <c r="Q347" s="34"/>
      <c r="R347" s="34"/>
      <c r="S347" s="34"/>
      <c r="T347" s="37"/>
      <c r="U347" s="37"/>
      <c r="V347" s="38">
        <f>DATEDIF(Table1[[#This Row],[Sponsor*]],Table1[[#This Row],[Start Date*]],"d")</f>
        <v>0</v>
      </c>
      <c r="W347" s="62" t="e">
        <f>DATEDIF([1]!Table1[[#This Row],[Start Date*]],[1]!Table1[[#This Row],[End Date*]],"d")</f>
        <v>#VALUE!</v>
      </c>
      <c r="X347" s="39"/>
      <c r="Y347" s="34"/>
      <c r="Z347" s="34"/>
      <c r="AC347" s="34"/>
      <c r="AE347" s="34"/>
      <c r="AF347" s="40"/>
      <c r="AG347" s="34"/>
      <c r="AH347" s="34"/>
      <c r="AI347" s="34"/>
      <c r="AJ347" s="34"/>
      <c r="AK347" s="34">
        <f>SUBTOTAL(9,Table1[[#This Row],[Up Next Priority]:[Campus]])</f>
        <v>0</v>
      </c>
      <c r="AL347" s="52"/>
      <c r="AM347" s="42"/>
      <c r="AN347" s="43"/>
      <c r="AO347" s="44"/>
      <c r="AP347" s="44"/>
      <c r="AQ347" s="44"/>
      <c r="AR347" s="44"/>
      <c r="AS347" s="51"/>
      <c r="AT347" s="44"/>
      <c r="AU347" s="66">
        <f>SUM(Table1[[#This Row],[Org Impact Score]:[Tools]])</f>
        <v>0</v>
      </c>
      <c r="AV347" s="45"/>
      <c r="AW347" s="34"/>
      <c r="AX347" s="34"/>
      <c r="AY347" s="34"/>
    </row>
    <row r="348" spans="1:51">
      <c r="A348" s="31" t="s">
        <v>304</v>
      </c>
      <c r="B348" s="32" t="s">
        <v>195</v>
      </c>
      <c r="C348" s="32" t="b">
        <v>0</v>
      </c>
      <c r="D348" s="32" t="s">
        <v>303</v>
      </c>
      <c r="E348" s="32" t="s">
        <v>890</v>
      </c>
      <c r="F348" s="32" t="s">
        <v>891</v>
      </c>
      <c r="G348" s="32" t="s">
        <v>925</v>
      </c>
      <c r="H348" s="65" t="s">
        <v>305</v>
      </c>
      <c r="I348" s="33"/>
      <c r="J348" s="33"/>
      <c r="K348" s="33"/>
      <c r="L348" s="34"/>
      <c r="M348" s="6"/>
      <c r="N348" s="6"/>
      <c r="O348" s="6"/>
      <c r="P348" s="36"/>
      <c r="Q348" s="34"/>
      <c r="R348" s="34"/>
      <c r="S348" s="34"/>
      <c r="T348" s="37"/>
      <c r="U348" s="37"/>
      <c r="V348" s="38">
        <f>DATEDIF(Table1[[#This Row],[Sponsor*]],Table1[[#This Row],[Start Date*]],"d")</f>
        <v>0</v>
      </c>
      <c r="W348" s="62" t="e">
        <f>DATEDIF([1]!Table1[[#This Row],[Start Date*]],[1]!Table1[[#This Row],[End Date*]],"d")</f>
        <v>#VALUE!</v>
      </c>
      <c r="X348" s="39"/>
      <c r="Y348" s="34"/>
      <c r="Z348" s="34"/>
      <c r="AC348" s="34"/>
      <c r="AE348" s="34"/>
      <c r="AF348" s="40"/>
      <c r="AG348" s="34"/>
      <c r="AH348" s="34"/>
      <c r="AI348" s="34"/>
      <c r="AJ348" s="34"/>
      <c r="AK348" s="34">
        <f>SUBTOTAL(9,Table1[[#This Row],[Up Next Priority]:[Campus]])</f>
        <v>0</v>
      </c>
      <c r="AL348" s="52"/>
      <c r="AM348" s="42"/>
      <c r="AN348" s="43"/>
      <c r="AO348" s="44"/>
      <c r="AP348" s="44"/>
      <c r="AQ348" s="44"/>
      <c r="AR348" s="44"/>
      <c r="AS348" s="51"/>
      <c r="AT348" s="44"/>
      <c r="AU348" s="66">
        <f>SUM(Table1[[#This Row],[Org Impact Score]:[Tools]])</f>
        <v>0</v>
      </c>
      <c r="AV348" s="45"/>
      <c r="AW348" s="34"/>
      <c r="AX348" s="34"/>
      <c r="AY348" s="34"/>
    </row>
    <row r="349" spans="1:51">
      <c r="A349" s="31" t="s">
        <v>301</v>
      </c>
      <c r="B349" s="32" t="s">
        <v>195</v>
      </c>
      <c r="C349" s="32" t="b">
        <v>0</v>
      </c>
      <c r="D349" s="32" t="s">
        <v>300</v>
      </c>
      <c r="E349" s="32" t="s">
        <v>890</v>
      </c>
      <c r="F349" s="32" t="s">
        <v>891</v>
      </c>
      <c r="G349" s="32" t="s">
        <v>76</v>
      </c>
      <c r="H349" s="65" t="s">
        <v>302</v>
      </c>
      <c r="I349" s="33"/>
      <c r="J349" s="33"/>
      <c r="K349" s="33"/>
      <c r="L349" s="34"/>
      <c r="M349" s="6"/>
      <c r="N349" s="6"/>
      <c r="O349" s="6"/>
      <c r="P349" s="36"/>
      <c r="Q349" s="34"/>
      <c r="R349" s="34"/>
      <c r="S349" s="34"/>
      <c r="T349" s="37"/>
      <c r="U349" s="37"/>
      <c r="V349" s="38">
        <f>DATEDIF(Table1[[#This Row],[Sponsor*]],Table1[[#This Row],[Start Date*]],"d")</f>
        <v>0</v>
      </c>
      <c r="W349" s="62" t="e">
        <f>DATEDIF([1]!Table1[[#This Row],[Start Date*]],[1]!Table1[[#This Row],[End Date*]],"d")</f>
        <v>#VALUE!</v>
      </c>
      <c r="X349" s="39"/>
      <c r="Y349" s="34"/>
      <c r="Z349" s="34"/>
      <c r="AC349" s="34"/>
      <c r="AE349" s="34"/>
      <c r="AF349" s="40"/>
      <c r="AG349" s="34"/>
      <c r="AH349" s="34"/>
      <c r="AI349" s="34"/>
      <c r="AJ349" s="34"/>
      <c r="AK349" s="34">
        <f>SUBTOTAL(9,Table1[[#This Row],[Up Next Priority]:[Campus]])</f>
        <v>0</v>
      </c>
      <c r="AL349" s="52"/>
      <c r="AM349" s="42"/>
      <c r="AN349" s="43"/>
      <c r="AO349" s="44"/>
      <c r="AP349" s="44"/>
      <c r="AQ349" s="44"/>
      <c r="AR349" s="44"/>
      <c r="AS349" s="51"/>
      <c r="AT349" s="44"/>
      <c r="AU349" s="66">
        <f>SUM(Table1[[#This Row],[Org Impact Score]:[Tools]])</f>
        <v>0</v>
      </c>
      <c r="AV349" s="45"/>
      <c r="AW349" s="34"/>
      <c r="AX349" s="34"/>
      <c r="AY349" s="34"/>
    </row>
    <row r="350" spans="1:51">
      <c r="A350" s="31" t="s">
        <v>298</v>
      </c>
      <c r="B350" s="32" t="s">
        <v>195</v>
      </c>
      <c r="C350" s="32" t="b">
        <v>0</v>
      </c>
      <c r="D350" s="32" t="s">
        <v>297</v>
      </c>
      <c r="E350" s="32" t="s">
        <v>890</v>
      </c>
      <c r="F350" s="32" t="s">
        <v>891</v>
      </c>
      <c r="G350" s="32"/>
      <c r="H350" s="65" t="s">
        <v>299</v>
      </c>
      <c r="I350" s="33"/>
      <c r="J350" s="33"/>
      <c r="K350" s="33"/>
      <c r="L350" s="34"/>
      <c r="M350" s="6"/>
      <c r="N350" s="6"/>
      <c r="O350" s="6"/>
      <c r="P350" s="36"/>
      <c r="Q350" s="34"/>
      <c r="R350" s="34"/>
      <c r="S350" s="34"/>
      <c r="T350" s="37"/>
      <c r="U350" s="37"/>
      <c r="V350" s="38">
        <f>DATEDIF(Table1[[#This Row],[Sponsor*]],Table1[[#This Row],[Start Date*]],"d")</f>
        <v>0</v>
      </c>
      <c r="W350" s="62" t="e">
        <f>DATEDIF([1]!Table1[[#This Row],[Start Date*]],[1]!Table1[[#This Row],[End Date*]],"d")</f>
        <v>#VALUE!</v>
      </c>
      <c r="X350" s="39"/>
      <c r="Y350" s="34"/>
      <c r="Z350" s="34"/>
      <c r="AC350" s="34"/>
      <c r="AE350" s="34"/>
      <c r="AF350" s="40"/>
      <c r="AG350" s="34"/>
      <c r="AH350" s="34"/>
      <c r="AI350" s="34"/>
      <c r="AJ350" s="34"/>
      <c r="AK350" s="34">
        <f>SUBTOTAL(9,Table1[[#This Row],[Up Next Priority]:[Campus]])</f>
        <v>0</v>
      </c>
      <c r="AL350" s="52"/>
      <c r="AM350" s="42"/>
      <c r="AN350" s="43"/>
      <c r="AO350" s="44"/>
      <c r="AP350" s="44"/>
      <c r="AQ350" s="44"/>
      <c r="AR350" s="44"/>
      <c r="AS350" s="51"/>
      <c r="AT350" s="44"/>
      <c r="AU350" s="66">
        <f>SUM(Table1[[#This Row],[Org Impact Score]:[Tools]])</f>
        <v>0</v>
      </c>
      <c r="AV350" s="45"/>
      <c r="AW350" s="34"/>
      <c r="AX350" s="34"/>
      <c r="AY350" s="34"/>
    </row>
    <row r="351" spans="1:51">
      <c r="A351" s="31" t="s">
        <v>295</v>
      </c>
      <c r="B351" s="32" t="s">
        <v>195</v>
      </c>
      <c r="C351" s="32" t="b">
        <v>0</v>
      </c>
      <c r="D351" s="32" t="s">
        <v>294</v>
      </c>
      <c r="E351" s="32" t="s">
        <v>890</v>
      </c>
      <c r="F351" s="32" t="s">
        <v>891</v>
      </c>
      <c r="G351" s="32"/>
      <c r="H351" s="65" t="s">
        <v>296</v>
      </c>
      <c r="I351" s="33"/>
      <c r="J351" s="33"/>
      <c r="K351" s="33"/>
      <c r="L351" s="34"/>
      <c r="M351" s="6"/>
      <c r="N351" s="6"/>
      <c r="O351" s="6"/>
      <c r="P351" s="36"/>
      <c r="Q351" s="34"/>
      <c r="R351" s="34"/>
      <c r="S351" s="34"/>
      <c r="T351" s="37"/>
      <c r="U351" s="37"/>
      <c r="V351" s="38">
        <f>DATEDIF(Table1[[#This Row],[Sponsor*]],Table1[[#This Row],[Start Date*]],"d")</f>
        <v>0</v>
      </c>
      <c r="W351" s="62" t="e">
        <f>DATEDIF([1]!Table1[[#This Row],[Start Date*]],[1]!Table1[[#This Row],[End Date*]],"d")</f>
        <v>#VALUE!</v>
      </c>
      <c r="X351" s="39"/>
      <c r="Y351" s="34"/>
      <c r="Z351" s="34"/>
      <c r="AC351" s="34"/>
      <c r="AE351" s="34"/>
      <c r="AF351" s="40"/>
      <c r="AG351" s="34"/>
      <c r="AH351" s="34"/>
      <c r="AI351" s="34"/>
      <c r="AJ351" s="34"/>
      <c r="AK351" s="34">
        <f>SUBTOTAL(9,Table1[[#This Row],[Up Next Priority]:[Campus]])</f>
        <v>0</v>
      </c>
      <c r="AL351" s="52"/>
      <c r="AM351" s="42"/>
      <c r="AN351" s="43"/>
      <c r="AO351" s="44"/>
      <c r="AP351" s="44"/>
      <c r="AQ351" s="44"/>
      <c r="AR351" s="44"/>
      <c r="AS351" s="51"/>
      <c r="AT351" s="44"/>
      <c r="AU351" s="66">
        <f>SUM(Table1[[#This Row],[Org Impact Score]:[Tools]])</f>
        <v>0</v>
      </c>
      <c r="AV351" s="45"/>
      <c r="AW351" s="34"/>
      <c r="AX351" s="34"/>
      <c r="AY351" s="34"/>
    </row>
    <row r="352" spans="1:51">
      <c r="A352" s="31" t="s">
        <v>292</v>
      </c>
      <c r="B352" s="32" t="s">
        <v>195</v>
      </c>
      <c r="C352" s="32" t="b">
        <v>0</v>
      </c>
      <c r="D352" s="56" t="s">
        <v>291</v>
      </c>
      <c r="E352" s="32" t="s">
        <v>890</v>
      </c>
      <c r="F352" s="32" t="s">
        <v>891</v>
      </c>
      <c r="G352" s="32" t="s">
        <v>916</v>
      </c>
      <c r="H352" s="65" t="s">
        <v>293</v>
      </c>
      <c r="I352" s="33"/>
      <c r="J352" s="33"/>
      <c r="K352" s="33"/>
      <c r="L352" s="34"/>
      <c r="M352" s="6"/>
      <c r="N352" s="6"/>
      <c r="O352" s="6"/>
      <c r="P352" s="36"/>
      <c r="Q352" s="34"/>
      <c r="R352" s="34"/>
      <c r="S352" s="34"/>
      <c r="T352" s="37"/>
      <c r="U352" s="37"/>
      <c r="V352" s="38">
        <f>DATEDIF(Table1[[#This Row],[Sponsor*]],Table1[[#This Row],[Start Date*]],"d")</f>
        <v>0</v>
      </c>
      <c r="W352" s="62" t="e">
        <f>DATEDIF([1]!Table1[[#This Row],[Start Date*]],[1]!Table1[[#This Row],[End Date*]],"d")</f>
        <v>#VALUE!</v>
      </c>
      <c r="X352" s="39"/>
      <c r="Y352" s="34"/>
      <c r="Z352" s="34"/>
      <c r="AC352" s="34"/>
      <c r="AE352" s="34"/>
      <c r="AF352" s="40"/>
      <c r="AG352" s="34"/>
      <c r="AH352" s="34"/>
      <c r="AI352" s="34"/>
      <c r="AJ352" s="34"/>
      <c r="AK352" s="34">
        <f>SUBTOTAL(9,Table1[[#This Row],[Up Next Priority]:[Campus]])</f>
        <v>0</v>
      </c>
      <c r="AL352" s="52"/>
      <c r="AM352" s="42"/>
      <c r="AN352" s="43"/>
      <c r="AO352" s="44"/>
      <c r="AP352" s="44"/>
      <c r="AQ352" s="44"/>
      <c r="AR352" s="44"/>
      <c r="AS352" s="51"/>
      <c r="AT352" s="44"/>
      <c r="AU352" s="66">
        <f>SUM(Table1[[#This Row],[Org Impact Score]:[Tools]])</f>
        <v>0</v>
      </c>
      <c r="AV352" s="45"/>
      <c r="AW352" s="34"/>
      <c r="AX352" s="34"/>
      <c r="AY352" s="34"/>
    </row>
    <row r="353" spans="1:51">
      <c r="A353" s="31" t="s">
        <v>289</v>
      </c>
      <c r="B353" s="32" t="s">
        <v>195</v>
      </c>
      <c r="C353" s="32" t="b">
        <v>0</v>
      </c>
      <c r="D353" s="32" t="s">
        <v>288</v>
      </c>
      <c r="E353" s="32" t="s">
        <v>890</v>
      </c>
      <c r="F353" s="32" t="s">
        <v>891</v>
      </c>
      <c r="G353" s="32"/>
      <c r="H353" s="65" t="s">
        <v>290</v>
      </c>
      <c r="I353" s="33"/>
      <c r="J353" s="33"/>
      <c r="K353" s="33"/>
      <c r="L353" s="34"/>
      <c r="M353" s="6"/>
      <c r="N353" s="6"/>
      <c r="O353" s="6"/>
      <c r="P353" s="36"/>
      <c r="Q353" s="34"/>
      <c r="R353" s="34"/>
      <c r="S353" s="34"/>
      <c r="T353" s="37"/>
      <c r="U353" s="37"/>
      <c r="V353" s="38">
        <f>DATEDIF(Table1[[#This Row],[Sponsor*]],Table1[[#This Row],[Start Date*]],"d")</f>
        <v>0</v>
      </c>
      <c r="W353" s="62" t="e">
        <f>DATEDIF([1]!Table1[[#This Row],[Start Date*]],[1]!Table1[[#This Row],[End Date*]],"d")</f>
        <v>#VALUE!</v>
      </c>
      <c r="X353" s="39"/>
      <c r="Y353" s="34"/>
      <c r="Z353" s="34"/>
      <c r="AC353" s="34"/>
      <c r="AE353" s="34"/>
      <c r="AF353" s="40"/>
      <c r="AG353" s="34"/>
      <c r="AH353" s="34"/>
      <c r="AI353" s="34"/>
      <c r="AJ353" s="34"/>
      <c r="AK353" s="34">
        <f>SUBTOTAL(9,Table1[[#This Row],[Up Next Priority]:[Campus]])</f>
        <v>0</v>
      </c>
      <c r="AL353" s="52"/>
      <c r="AM353" s="42"/>
      <c r="AN353" s="43"/>
      <c r="AO353" s="44"/>
      <c r="AP353" s="44"/>
      <c r="AQ353" s="44"/>
      <c r="AR353" s="44"/>
      <c r="AS353" s="51"/>
      <c r="AT353" s="44"/>
      <c r="AU353" s="66">
        <f>SUM(Table1[[#This Row],[Org Impact Score]:[Tools]])</f>
        <v>0</v>
      </c>
      <c r="AV353" s="45"/>
      <c r="AW353" s="34"/>
      <c r="AX353" s="34"/>
      <c r="AY353" s="34"/>
    </row>
    <row r="354" spans="1:51">
      <c r="A354" s="31" t="s">
        <v>285</v>
      </c>
      <c r="B354" s="32" t="s">
        <v>195</v>
      </c>
      <c r="C354" s="32" t="b">
        <v>0</v>
      </c>
      <c r="D354" s="32" t="s">
        <v>284</v>
      </c>
      <c r="E354" s="32" t="s">
        <v>890</v>
      </c>
      <c r="F354" s="32" t="s">
        <v>891</v>
      </c>
      <c r="G354" s="32" t="s">
        <v>76</v>
      </c>
      <c r="H354" s="65" t="s">
        <v>286</v>
      </c>
      <c r="I354" s="33"/>
      <c r="J354" s="33"/>
      <c r="K354" s="33"/>
      <c r="L354" s="34"/>
      <c r="M354" s="6"/>
      <c r="N354" s="6"/>
      <c r="O354" s="6"/>
      <c r="P354" s="36"/>
      <c r="Q354" s="34"/>
      <c r="R354" s="34"/>
      <c r="S354" s="34"/>
      <c r="T354" s="37"/>
      <c r="U354" s="37"/>
      <c r="V354" s="38">
        <f>DATEDIF(Table1[[#This Row],[Sponsor*]],Table1[[#This Row],[Start Date*]],"d")</f>
        <v>0</v>
      </c>
      <c r="W354" s="62" t="e">
        <f>DATEDIF([1]!Table1[[#This Row],[Start Date*]],[1]!Table1[[#This Row],[End Date*]],"d")</f>
        <v>#VALUE!</v>
      </c>
      <c r="X354" s="39"/>
      <c r="Y354" s="34"/>
      <c r="Z354" s="34"/>
      <c r="AC354" s="34"/>
      <c r="AE354" s="34"/>
      <c r="AF354" s="40"/>
      <c r="AG354" s="34"/>
      <c r="AH354" s="34"/>
      <c r="AI354" s="34"/>
      <c r="AJ354" s="34"/>
      <c r="AK354" s="34">
        <f>SUBTOTAL(9,Table1[[#This Row],[Up Next Priority]:[Campus]])</f>
        <v>0</v>
      </c>
      <c r="AL354" s="52"/>
      <c r="AM354" s="42"/>
      <c r="AN354" s="43"/>
      <c r="AO354" s="44"/>
      <c r="AP354" s="44"/>
      <c r="AQ354" s="44"/>
      <c r="AR354" s="44"/>
      <c r="AS354" s="51"/>
      <c r="AT354" s="44"/>
      <c r="AU354" s="66">
        <f>SUM(Table1[[#This Row],[Org Impact Score]:[Tools]])</f>
        <v>0</v>
      </c>
      <c r="AV354" s="45"/>
      <c r="AW354" s="34"/>
      <c r="AX354" s="34"/>
      <c r="AY354" s="34"/>
    </row>
    <row r="355" spans="1:51">
      <c r="A355" s="31" t="s">
        <v>282</v>
      </c>
      <c r="B355" s="32" t="s">
        <v>195</v>
      </c>
      <c r="C355" s="32" t="b">
        <v>0</v>
      </c>
      <c r="D355" s="32" t="s">
        <v>281</v>
      </c>
      <c r="E355" s="32" t="s">
        <v>890</v>
      </c>
      <c r="F355" s="32" t="s">
        <v>891</v>
      </c>
      <c r="G355" s="32"/>
      <c r="H355" s="65" t="s">
        <v>283</v>
      </c>
      <c r="I355" s="33"/>
      <c r="J355" s="33"/>
      <c r="K355" s="33"/>
      <c r="L355" s="34"/>
      <c r="M355" s="6"/>
      <c r="N355" s="6"/>
      <c r="O355" s="6"/>
      <c r="P355" s="36"/>
      <c r="Q355" s="34"/>
      <c r="R355" s="34"/>
      <c r="S355" s="34"/>
      <c r="T355" s="37"/>
      <c r="U355" s="37"/>
      <c r="V355" s="38">
        <f>DATEDIF(Table1[[#This Row],[Sponsor*]],Table1[[#This Row],[Start Date*]],"d")</f>
        <v>0</v>
      </c>
      <c r="W355" s="62" t="e">
        <f>DATEDIF([1]!Table1[[#This Row],[Start Date*]],[1]!Table1[[#This Row],[End Date*]],"d")</f>
        <v>#VALUE!</v>
      </c>
      <c r="X355" s="39"/>
      <c r="Y355" s="34"/>
      <c r="Z355" s="34"/>
      <c r="AC355" s="34"/>
      <c r="AE355" s="34"/>
      <c r="AF355" s="40"/>
      <c r="AG355" s="34"/>
      <c r="AH355" s="34"/>
      <c r="AI355" s="34"/>
      <c r="AJ355" s="34"/>
      <c r="AK355" s="34">
        <f>SUBTOTAL(9,Table1[[#This Row],[Up Next Priority]:[Campus]])</f>
        <v>0</v>
      </c>
      <c r="AL355" s="52"/>
      <c r="AM355" s="42"/>
      <c r="AN355" s="43"/>
      <c r="AO355" s="44"/>
      <c r="AP355" s="44"/>
      <c r="AQ355" s="44"/>
      <c r="AR355" s="44"/>
      <c r="AS355" s="51"/>
      <c r="AT355" s="44"/>
      <c r="AU355" s="66">
        <f>SUM(Table1[[#This Row],[Org Impact Score]:[Tools]])</f>
        <v>0</v>
      </c>
      <c r="AV355" s="45"/>
      <c r="AW355" s="34"/>
      <c r="AX355" s="34"/>
      <c r="AY355" s="34"/>
    </row>
    <row r="356" spans="1:51">
      <c r="A356" s="31" t="s">
        <v>279</v>
      </c>
      <c r="B356" s="32" t="s">
        <v>195</v>
      </c>
      <c r="C356" s="32" t="b">
        <v>0</v>
      </c>
      <c r="D356" s="56" t="s">
        <v>278</v>
      </c>
      <c r="E356" s="32" t="s">
        <v>890</v>
      </c>
      <c r="F356" s="32" t="s">
        <v>891</v>
      </c>
      <c r="G356" s="32"/>
      <c r="H356" s="65" t="s">
        <v>280</v>
      </c>
      <c r="I356" s="33"/>
      <c r="J356" s="33"/>
      <c r="K356" s="33"/>
      <c r="L356" s="34"/>
      <c r="M356" s="6"/>
      <c r="N356" s="6"/>
      <c r="O356" s="6"/>
      <c r="P356" s="36"/>
      <c r="Q356" s="34"/>
      <c r="R356" s="34"/>
      <c r="S356" s="34"/>
      <c r="T356" s="37"/>
      <c r="U356" s="37"/>
      <c r="V356" s="38">
        <f>DATEDIF(Table1[[#This Row],[Sponsor*]],Table1[[#This Row],[Start Date*]],"d")</f>
        <v>0</v>
      </c>
      <c r="W356" s="62" t="e">
        <f>DATEDIF([1]!Table1[[#This Row],[Start Date*]],[1]!Table1[[#This Row],[End Date*]],"d")</f>
        <v>#VALUE!</v>
      </c>
      <c r="X356" s="39"/>
      <c r="Y356" s="34"/>
      <c r="Z356" s="34"/>
      <c r="AC356" s="34"/>
      <c r="AE356" s="34"/>
      <c r="AF356" s="40"/>
      <c r="AG356" s="34"/>
      <c r="AH356" s="34"/>
      <c r="AI356" s="34"/>
      <c r="AJ356" s="34"/>
      <c r="AK356" s="34">
        <f>SUBTOTAL(9,Table1[[#This Row],[Up Next Priority]:[Campus]])</f>
        <v>0</v>
      </c>
      <c r="AL356" s="52"/>
      <c r="AM356" s="42"/>
      <c r="AN356" s="43"/>
      <c r="AO356" s="44"/>
      <c r="AP356" s="44"/>
      <c r="AQ356" s="44"/>
      <c r="AR356" s="44"/>
      <c r="AS356" s="51"/>
      <c r="AT356" s="44"/>
      <c r="AU356" s="66">
        <f>SUM(Table1[[#This Row],[Org Impact Score]:[Tools]])</f>
        <v>0</v>
      </c>
      <c r="AV356" s="45"/>
      <c r="AW356" s="34"/>
      <c r="AX356" s="34"/>
      <c r="AY356" s="34"/>
    </row>
    <row r="357" spans="1:51">
      <c r="A357" s="31" t="s">
        <v>276</v>
      </c>
      <c r="B357" s="32" t="s">
        <v>195</v>
      </c>
      <c r="C357" s="32" t="b">
        <v>0</v>
      </c>
      <c r="D357" s="32" t="s">
        <v>275</v>
      </c>
      <c r="E357" s="32" t="s">
        <v>890</v>
      </c>
      <c r="F357" s="32" t="s">
        <v>891</v>
      </c>
      <c r="G357" s="32"/>
      <c r="H357" s="65" t="s">
        <v>277</v>
      </c>
      <c r="I357" s="33"/>
      <c r="J357" s="33"/>
      <c r="K357" s="33"/>
      <c r="L357" s="34"/>
      <c r="M357" s="6"/>
      <c r="N357" s="6"/>
      <c r="O357" s="6"/>
      <c r="P357" s="36"/>
      <c r="Q357" s="34"/>
      <c r="R357" s="34"/>
      <c r="S357" s="34"/>
      <c r="T357" s="37"/>
      <c r="U357" s="37"/>
      <c r="V357" s="38">
        <f>DATEDIF(Table1[[#This Row],[Sponsor*]],Table1[[#This Row],[Start Date*]],"d")</f>
        <v>0</v>
      </c>
      <c r="W357" s="62" t="e">
        <f>DATEDIF([1]!Table1[[#This Row],[Start Date*]],[1]!Table1[[#This Row],[End Date*]],"d")</f>
        <v>#VALUE!</v>
      </c>
      <c r="X357" s="39"/>
      <c r="Y357" s="34"/>
      <c r="Z357" s="34"/>
      <c r="AC357" s="34"/>
      <c r="AE357" s="34"/>
      <c r="AF357" s="40"/>
      <c r="AG357" s="34"/>
      <c r="AH357" s="34"/>
      <c r="AI357" s="34"/>
      <c r="AJ357" s="34"/>
      <c r="AK357" s="34">
        <f>SUBTOTAL(9,Table1[[#This Row],[Up Next Priority]:[Campus]])</f>
        <v>0</v>
      </c>
      <c r="AL357" s="52"/>
      <c r="AM357" s="42"/>
      <c r="AN357" s="43"/>
      <c r="AO357" s="44"/>
      <c r="AP357" s="44"/>
      <c r="AQ357" s="44"/>
      <c r="AR357" s="44"/>
      <c r="AS357" s="51"/>
      <c r="AT357" s="44"/>
      <c r="AU357" s="66">
        <f>SUM(Table1[[#This Row],[Org Impact Score]:[Tools]])</f>
        <v>0</v>
      </c>
      <c r="AV357" s="45"/>
      <c r="AW357" s="34"/>
      <c r="AX357" s="34"/>
      <c r="AY357" s="34"/>
    </row>
    <row r="358" spans="1:51" ht="15.75">
      <c r="A358" s="31" t="s">
        <v>1225</v>
      </c>
      <c r="B358" s="32" t="s">
        <v>195</v>
      </c>
      <c r="C358" s="32" t="b">
        <v>1</v>
      </c>
      <c r="D358" s="1" t="s">
        <v>1224</v>
      </c>
      <c r="E358" s="32" t="s">
        <v>890</v>
      </c>
      <c r="F358" s="32" t="s">
        <v>26</v>
      </c>
      <c r="G358" s="32"/>
      <c r="H358" s="32" t="s">
        <v>1226</v>
      </c>
      <c r="I358" s="33" t="s">
        <v>1468</v>
      </c>
      <c r="J358" s="59" t="s">
        <v>215</v>
      </c>
      <c r="K358" s="33"/>
      <c r="L358" s="34" t="s">
        <v>24</v>
      </c>
      <c r="M358" s="34"/>
      <c r="N358" s="6" t="s">
        <v>66</v>
      </c>
      <c r="O358" s="6"/>
      <c r="P358" s="47" t="s">
        <v>49</v>
      </c>
      <c r="Q358" s="6"/>
      <c r="R358" s="34">
        <v>0</v>
      </c>
      <c r="S358" s="34"/>
      <c r="T358" s="34"/>
      <c r="U358" s="37">
        <v>43101</v>
      </c>
      <c r="V358" s="37">
        <v>43132</v>
      </c>
      <c r="W358" s="38" t="e">
        <f>DATEDIF([1]!Table1[[#This Row],[Start Date*]],[1]!Table1[[#This Row],[End Date*]],"d")</f>
        <v>#VALUE!</v>
      </c>
      <c r="X358" s="39" t="e">
        <f>SUM([1]!Table1[[#This Row],[DB]:[EH]])</f>
        <v>#VALUE!</v>
      </c>
      <c r="Y358" s="34"/>
      <c r="Z358" s="34"/>
      <c r="AC358" s="34"/>
      <c r="AE358" s="34"/>
      <c r="AF358" s="40">
        <v>4</v>
      </c>
      <c r="AG358" s="34">
        <v>2</v>
      </c>
      <c r="AH358" s="34">
        <v>3</v>
      </c>
      <c r="AI358" s="34">
        <v>0</v>
      </c>
      <c r="AJ358" s="34">
        <v>0</v>
      </c>
      <c r="AK358" s="34">
        <v>0</v>
      </c>
      <c r="AL358" s="52" t="e">
        <f>SUBTOTAL(9,[1]!Table1[[#This Row],[Online Learning]:[Other]])</f>
        <v>#VALUE!</v>
      </c>
      <c r="AM358" s="42">
        <v>0</v>
      </c>
      <c r="AN358" s="43">
        <v>5</v>
      </c>
      <c r="AO358" s="44">
        <v>2</v>
      </c>
      <c r="AP358" s="44">
        <v>2</v>
      </c>
      <c r="AQ358" s="44">
        <v>2</v>
      </c>
      <c r="AR358" s="44">
        <v>0</v>
      </c>
      <c r="AS358" s="44">
        <v>2</v>
      </c>
      <c r="AT358" s="44">
        <v>0</v>
      </c>
      <c r="AU358" s="44">
        <v>0</v>
      </c>
      <c r="AV358" s="45" t="e">
        <f>SUM([1]!Table1[[#This Row],[*Learning Model (Daniel)]:[Other2]])</f>
        <v>#VALUE!</v>
      </c>
      <c r="AW358" s="34">
        <v>0</v>
      </c>
      <c r="AX358" s="34">
        <v>0</v>
      </c>
      <c r="AY358" s="34">
        <v>2</v>
      </c>
    </row>
    <row r="359" spans="1:51" ht="15.75">
      <c r="A359" s="31" t="s">
        <v>436</v>
      </c>
      <c r="B359" s="32" t="s">
        <v>195</v>
      </c>
      <c r="C359" s="32" t="b">
        <v>0</v>
      </c>
      <c r="D359" s="1" t="s">
        <v>435</v>
      </c>
      <c r="E359" s="32" t="s">
        <v>890</v>
      </c>
      <c r="F359" s="32" t="s">
        <v>26</v>
      </c>
      <c r="G359" s="32" t="s">
        <v>922</v>
      </c>
      <c r="H359" s="32" t="s">
        <v>437</v>
      </c>
      <c r="I359" s="33" t="s">
        <v>1468</v>
      </c>
      <c r="J359" s="33" t="s">
        <v>258</v>
      </c>
      <c r="K359" s="33"/>
      <c r="L359" s="34" t="s">
        <v>24</v>
      </c>
      <c r="M359" s="34" t="s">
        <v>84</v>
      </c>
      <c r="N359" s="6" t="s">
        <v>26</v>
      </c>
      <c r="O359" s="6"/>
      <c r="P359" s="47" t="s">
        <v>39</v>
      </c>
      <c r="Q359" s="6"/>
      <c r="R359" s="34">
        <v>0</v>
      </c>
      <c r="S359" s="34"/>
      <c r="T359" s="34"/>
      <c r="U359" s="37">
        <v>43101</v>
      </c>
      <c r="V359" s="37">
        <v>43132</v>
      </c>
      <c r="W359" s="38" t="e">
        <f>DATEDIF([1]!Table1[[#This Row],[Start Date*]],[1]!Table1[[#This Row],[End Date*]],"d")</f>
        <v>#VALUE!</v>
      </c>
      <c r="X359" s="39" t="e">
        <f>SUM([1]!Table1[[#This Row],[DB]:[EH]])</f>
        <v>#VALUE!</v>
      </c>
      <c r="Y359" s="34"/>
      <c r="Z359" s="34"/>
      <c r="AC359" s="34"/>
      <c r="AE359" s="34"/>
      <c r="AF359" s="40">
        <v>4</v>
      </c>
      <c r="AG359" s="34">
        <v>1</v>
      </c>
      <c r="AH359" s="34">
        <v>2</v>
      </c>
      <c r="AI359" s="34">
        <v>0</v>
      </c>
      <c r="AJ359" s="34">
        <v>0</v>
      </c>
      <c r="AK359" s="34">
        <v>0</v>
      </c>
      <c r="AL359" s="52" t="e">
        <f>SUBTOTAL(9,[1]!Table1[[#This Row],[Online Learning]:[Other]])</f>
        <v>#VALUE!</v>
      </c>
      <c r="AM359" s="42">
        <v>0</v>
      </c>
      <c r="AN359" s="43">
        <v>0</v>
      </c>
      <c r="AO359" s="44">
        <v>0</v>
      </c>
      <c r="AP359" s="44">
        <v>0</v>
      </c>
      <c r="AQ359" s="44">
        <v>2</v>
      </c>
      <c r="AR359" s="44">
        <v>0</v>
      </c>
      <c r="AS359" s="44">
        <v>0</v>
      </c>
      <c r="AT359" s="44">
        <v>4</v>
      </c>
      <c r="AU359" s="44">
        <v>0</v>
      </c>
      <c r="AV359" s="45" t="e">
        <f>SUM([1]!Table1[[#This Row],[*Learning Model (Daniel)]:[Other2]])</f>
        <v>#VALUE!</v>
      </c>
      <c r="AW359" s="34">
        <v>1</v>
      </c>
      <c r="AX359" s="34">
        <v>0</v>
      </c>
      <c r="AY359" s="34">
        <v>3</v>
      </c>
    </row>
    <row r="360" spans="1:51">
      <c r="A360" s="31" t="s">
        <v>262</v>
      </c>
      <c r="B360" s="32" t="s">
        <v>195</v>
      </c>
      <c r="C360" s="32" t="b">
        <v>0</v>
      </c>
      <c r="D360" s="54" t="s">
        <v>438</v>
      </c>
      <c r="E360" s="32" t="s">
        <v>890</v>
      </c>
      <c r="F360" s="32" t="s">
        <v>0</v>
      </c>
      <c r="G360" s="32" t="s">
        <v>922</v>
      </c>
      <c r="H360" s="32" t="s">
        <v>439</v>
      </c>
      <c r="I360" s="33" t="s">
        <v>1468</v>
      </c>
      <c r="J360" s="67" t="s">
        <v>263</v>
      </c>
      <c r="K360" s="33"/>
      <c r="L360" s="34" t="s">
        <v>24</v>
      </c>
      <c r="M360" s="34" t="s">
        <v>84</v>
      </c>
      <c r="N360" s="6" t="s">
        <v>0</v>
      </c>
      <c r="O360" s="6"/>
      <c r="P360" s="36" t="s">
        <v>39</v>
      </c>
      <c r="Q360" s="6"/>
      <c r="R360" s="34"/>
      <c r="S360" s="34"/>
      <c r="T360" s="34"/>
      <c r="U360" s="37">
        <v>43101</v>
      </c>
      <c r="V360" s="37">
        <v>43132</v>
      </c>
      <c r="W360" s="38" t="e">
        <f>DATEDIF([1]!Table1[[#This Row],[Start Date*]],[1]!Table1[[#This Row],[End Date*]],"d")</f>
        <v>#VALUE!</v>
      </c>
      <c r="X360" s="39" t="e">
        <f>SUM([1]!Table1[[#This Row],[DB]:[EH]])</f>
        <v>#VALUE!</v>
      </c>
      <c r="Y360" s="34"/>
      <c r="Z360" s="34"/>
      <c r="AC360" s="34"/>
      <c r="AE360" s="34"/>
      <c r="AF360" s="40">
        <v>3</v>
      </c>
      <c r="AG360" s="34">
        <v>1</v>
      </c>
      <c r="AH360" s="34">
        <v>2</v>
      </c>
      <c r="AI360" s="34">
        <v>2</v>
      </c>
      <c r="AJ360" s="34">
        <v>1</v>
      </c>
      <c r="AK360" s="34">
        <v>0</v>
      </c>
      <c r="AL360" s="41" t="e">
        <f>SUBTOTAL(9,[1]!Table1[[#This Row],[Online Learning]:[Other]])</f>
        <v>#VALUE!</v>
      </c>
      <c r="AM360" s="42">
        <v>0</v>
      </c>
      <c r="AN360" s="43">
        <v>0</v>
      </c>
      <c r="AO360" s="44">
        <v>0</v>
      </c>
      <c r="AP360" s="44">
        <v>0</v>
      </c>
      <c r="AQ360" s="44">
        <v>0</v>
      </c>
      <c r="AR360" s="44">
        <v>0</v>
      </c>
      <c r="AS360" s="44">
        <v>4</v>
      </c>
      <c r="AT360" s="44">
        <v>0</v>
      </c>
      <c r="AU360" s="44">
        <v>2</v>
      </c>
      <c r="AV360" s="45" t="e">
        <f>SUM([1]!Table1[[#This Row],[*Learning Model (Daniel)]:[Other2]])</f>
        <v>#VALUE!</v>
      </c>
      <c r="AW360" s="34">
        <v>0</v>
      </c>
      <c r="AX360" s="34">
        <v>0</v>
      </c>
      <c r="AY360" s="34">
        <v>3</v>
      </c>
    </row>
    <row r="361" spans="1:51" ht="15.75">
      <c r="A361" s="31" t="s">
        <v>391</v>
      </c>
      <c r="B361" s="32" t="s">
        <v>195</v>
      </c>
      <c r="C361" s="32" t="b">
        <v>0</v>
      </c>
      <c r="D361" s="1" t="s">
        <v>390</v>
      </c>
      <c r="E361" s="32" t="s">
        <v>890</v>
      </c>
      <c r="F361" s="32" t="s">
        <v>892</v>
      </c>
      <c r="G361" s="32"/>
      <c r="H361" s="32" t="s">
        <v>392</v>
      </c>
      <c r="I361" s="33" t="s">
        <v>1468</v>
      </c>
      <c r="J361" s="33" t="s">
        <v>204</v>
      </c>
      <c r="K361" s="33"/>
      <c r="L361" s="34" t="s">
        <v>24</v>
      </c>
      <c r="M361" s="35"/>
      <c r="N361" s="6"/>
      <c r="O361" s="6"/>
      <c r="P361" s="47" t="s">
        <v>39</v>
      </c>
      <c r="Q361" s="6"/>
      <c r="R361" s="34">
        <v>0</v>
      </c>
      <c r="S361" s="34"/>
      <c r="T361" s="34"/>
      <c r="U361" s="37">
        <v>43101</v>
      </c>
      <c r="V361" s="37">
        <v>43132</v>
      </c>
      <c r="W361" s="38" t="e">
        <f>DATEDIF([1]!Table1[[#This Row],[Start Date*]],[1]!Table1[[#This Row],[End Date*]],"d")</f>
        <v>#VALUE!</v>
      </c>
      <c r="X361" s="39" t="e">
        <f>SUM([1]!Table1[[#This Row],[DB]:[EH]])</f>
        <v>#VALUE!</v>
      </c>
      <c r="Y361" s="34"/>
      <c r="Z361" s="34">
        <v>20</v>
      </c>
      <c r="AB361" s="34">
        <v>30</v>
      </c>
      <c r="AC361" s="34"/>
      <c r="AE361" s="34"/>
      <c r="AF361" s="40">
        <v>4</v>
      </c>
      <c r="AG361" s="34">
        <v>3</v>
      </c>
      <c r="AH361" s="34">
        <v>1</v>
      </c>
      <c r="AI361" s="34">
        <v>0</v>
      </c>
      <c r="AJ361" s="34">
        <v>0</v>
      </c>
      <c r="AK361" s="34">
        <v>0</v>
      </c>
      <c r="AL361" s="52" t="e">
        <f>SUBTOTAL(9,[1]!Table1[[#This Row],[Online Learning]:[Other]])</f>
        <v>#VALUE!</v>
      </c>
      <c r="AM361" s="42">
        <v>0</v>
      </c>
      <c r="AN361" s="43">
        <v>0</v>
      </c>
      <c r="AO361" s="44">
        <v>0</v>
      </c>
      <c r="AP361" s="44">
        <v>3</v>
      </c>
      <c r="AQ361" s="44">
        <v>1</v>
      </c>
      <c r="AR361" s="44">
        <v>0</v>
      </c>
      <c r="AS361" s="44">
        <v>0</v>
      </c>
      <c r="AT361" s="44">
        <v>3</v>
      </c>
      <c r="AU361" s="44">
        <v>0</v>
      </c>
      <c r="AV361" s="45" t="e">
        <f>SUM([1]!Table1[[#This Row],[*Learning Model (Daniel)]:[Other2]])</f>
        <v>#VALUE!</v>
      </c>
      <c r="AW361" s="34">
        <v>0</v>
      </c>
      <c r="AX361" s="34">
        <v>0</v>
      </c>
      <c r="AY361" s="34">
        <v>2</v>
      </c>
    </row>
    <row r="362" spans="1:51">
      <c r="A362" s="31" t="s">
        <v>511</v>
      </c>
      <c r="B362" s="32" t="s">
        <v>195</v>
      </c>
      <c r="C362" s="32" t="b">
        <v>0</v>
      </c>
      <c r="D362" t="s">
        <v>510</v>
      </c>
      <c r="E362" s="32" t="s">
        <v>890</v>
      </c>
      <c r="F362" s="32" t="s">
        <v>895</v>
      </c>
      <c r="G362" s="32" t="s">
        <v>905</v>
      </c>
      <c r="H362" s="32" t="s">
        <v>512</v>
      </c>
      <c r="I362" s="33" t="s">
        <v>1468</v>
      </c>
      <c r="J362" s="67" t="s">
        <v>211</v>
      </c>
      <c r="K362" s="33"/>
      <c r="L362" s="34" t="s">
        <v>24</v>
      </c>
      <c r="M362" s="34" t="s">
        <v>25</v>
      </c>
      <c r="N362" s="6" t="s">
        <v>56</v>
      </c>
      <c r="O362" s="6"/>
      <c r="P362" s="47" t="s">
        <v>49</v>
      </c>
      <c r="Q362" s="6" t="s">
        <v>28</v>
      </c>
      <c r="R362" s="34">
        <v>100</v>
      </c>
      <c r="S362" s="34" t="s">
        <v>212</v>
      </c>
      <c r="T362" s="34" t="s">
        <v>1</v>
      </c>
      <c r="U362" s="37">
        <v>42675</v>
      </c>
      <c r="V362" s="37">
        <v>42856</v>
      </c>
      <c r="W362" s="38" t="e">
        <f>DATEDIF([1]!Table1[[#This Row],[Start Date*]],[1]!Table1[[#This Row],[End Date*]],"d")</f>
        <v>#VALUE!</v>
      </c>
      <c r="X362" s="39" t="e">
        <f>SUM([1]!Table1[[#This Row],[DB]:[EH]])</f>
        <v>#VALUE!</v>
      </c>
      <c r="Y362" s="34">
        <v>50</v>
      </c>
      <c r="Z362" s="34"/>
      <c r="AC362" s="34"/>
      <c r="AE362" s="34"/>
      <c r="AF362" s="47"/>
      <c r="AG362" s="34">
        <v>0</v>
      </c>
      <c r="AH362" s="34">
        <v>2</v>
      </c>
      <c r="AI362" s="34">
        <v>0</v>
      </c>
      <c r="AJ362" s="34">
        <v>1</v>
      </c>
      <c r="AK362" s="34">
        <v>0</v>
      </c>
      <c r="AL362" s="41" t="e">
        <f>SUBTOTAL(9,[1]!Table1[[#This Row],[Online Learning]:[Other]])</f>
        <v>#VALUE!</v>
      </c>
      <c r="AM362" s="42">
        <v>0</v>
      </c>
      <c r="AN362" s="44">
        <v>0</v>
      </c>
      <c r="AO362" s="44">
        <v>2</v>
      </c>
      <c r="AP362" s="44">
        <v>2</v>
      </c>
      <c r="AQ362" s="44">
        <v>3</v>
      </c>
      <c r="AR362" s="44">
        <v>0</v>
      </c>
      <c r="AS362" s="44">
        <v>1</v>
      </c>
      <c r="AT362" s="44">
        <v>0</v>
      </c>
      <c r="AU362" s="44">
        <v>0</v>
      </c>
      <c r="AV362" s="45" t="e">
        <f>SUM([1]!Table1[[#This Row],[*Learning Model (Daniel)]:[Other2]])</f>
        <v>#VALUE!</v>
      </c>
      <c r="AW362" s="34">
        <v>0</v>
      </c>
      <c r="AX362" s="34">
        <v>0</v>
      </c>
      <c r="AY362" s="34">
        <v>2</v>
      </c>
    </row>
    <row r="363" spans="1:51" ht="15.75">
      <c r="A363" s="31" t="s">
        <v>1469</v>
      </c>
      <c r="B363" s="40"/>
      <c r="C363" s="40"/>
      <c r="D363" s="1"/>
      <c r="E363" s="40"/>
      <c r="F363" s="40"/>
      <c r="G363" s="40"/>
      <c r="H363" s="40"/>
      <c r="I363" s="34"/>
      <c r="J363" s="48" t="s">
        <v>207</v>
      </c>
      <c r="K363" s="33"/>
      <c r="L363" s="34" t="s">
        <v>36</v>
      </c>
      <c r="M363" s="34" t="s">
        <v>55</v>
      </c>
      <c r="N363" s="6" t="s">
        <v>0</v>
      </c>
      <c r="O363" s="6"/>
      <c r="P363" s="47"/>
      <c r="Q363" s="6"/>
      <c r="R363" s="34">
        <v>80</v>
      </c>
      <c r="S363" s="34"/>
      <c r="T363" s="34" t="s">
        <v>1</v>
      </c>
      <c r="U363" s="37">
        <v>42767</v>
      </c>
      <c r="V363" s="37">
        <v>42856</v>
      </c>
      <c r="W363" s="38" t="e">
        <f>DATEDIF([1]!Table1[[#This Row],[Start Date*]],[1]!Table1[[#This Row],[End Date*]],"d")</f>
        <v>#VALUE!</v>
      </c>
      <c r="X363" s="39" t="e">
        <f>SUM([1]!Table1[[#This Row],[DB]:[EH]])</f>
        <v>#VALUE!</v>
      </c>
      <c r="Y363" s="34"/>
      <c r="Z363" s="34"/>
      <c r="AB363" s="34">
        <v>50</v>
      </c>
      <c r="AC363" s="34"/>
      <c r="AE363" s="34"/>
      <c r="AF363" s="47"/>
      <c r="AG363" s="34">
        <v>3</v>
      </c>
      <c r="AH363" s="34">
        <v>3</v>
      </c>
      <c r="AI363" s="34">
        <v>3</v>
      </c>
      <c r="AJ363" s="34">
        <v>3</v>
      </c>
      <c r="AK363" s="34">
        <v>0</v>
      </c>
      <c r="AL363" s="41" t="e">
        <f>SUBTOTAL(9,[1]!Table1[[#This Row],[Online Learning]:[Other]])</f>
        <v>#VALUE!</v>
      </c>
      <c r="AM363" s="41"/>
      <c r="AN363" s="51"/>
      <c r="AO363" s="51"/>
      <c r="AP363" s="51"/>
      <c r="AQ363" s="51"/>
      <c r="AR363" s="51"/>
      <c r="AS363" s="51"/>
      <c r="AT363" s="51"/>
      <c r="AU363" s="51"/>
      <c r="AV363" s="45" t="e">
        <f>SUM([1]!Table1[[#This Row],[*Learning Model (Daniel)]:[Other2]])</f>
        <v>#VALUE!</v>
      </c>
      <c r="AW363" s="34"/>
      <c r="AX363" s="34"/>
      <c r="AY363" s="34"/>
    </row>
    <row r="364" spans="1:51" ht="15.75">
      <c r="A364" s="31" t="s">
        <v>1470</v>
      </c>
      <c r="B364" s="40"/>
      <c r="C364" s="40"/>
      <c r="D364" s="1"/>
      <c r="E364" s="40"/>
      <c r="F364" s="40"/>
      <c r="G364" s="40"/>
      <c r="H364" s="40"/>
      <c r="I364" s="34"/>
      <c r="J364" s="60" t="s">
        <v>207</v>
      </c>
      <c r="K364" s="33"/>
      <c r="L364" s="34" t="s">
        <v>36</v>
      </c>
      <c r="M364" s="34" t="s">
        <v>55</v>
      </c>
      <c r="N364" s="6" t="s">
        <v>0</v>
      </c>
      <c r="O364" s="6"/>
      <c r="P364" s="47"/>
      <c r="Q364" s="6"/>
      <c r="R364" s="34"/>
      <c r="S364" s="34"/>
      <c r="T364" s="34"/>
      <c r="U364" s="37">
        <v>43101</v>
      </c>
      <c r="V364" s="37">
        <v>43132</v>
      </c>
      <c r="W364" s="38" t="e">
        <f>DATEDIF([1]!Table1[[#This Row],[Start Date*]],[1]!Table1[[#This Row],[End Date*]],"d")</f>
        <v>#VALUE!</v>
      </c>
      <c r="X364" s="39" t="e">
        <f>SUM([1]!Table1[[#This Row],[DB]:[EH]])</f>
        <v>#VALUE!</v>
      </c>
      <c r="Y364" s="34"/>
      <c r="Z364" s="34"/>
      <c r="AC364" s="34"/>
      <c r="AE364" s="34"/>
      <c r="AF364" s="47"/>
      <c r="AG364" s="34">
        <v>5</v>
      </c>
      <c r="AH364" s="34">
        <v>1</v>
      </c>
      <c r="AI364" s="34">
        <v>1</v>
      </c>
      <c r="AJ364" s="34">
        <v>1</v>
      </c>
      <c r="AK364" s="34">
        <v>0</v>
      </c>
      <c r="AL364" s="41" t="e">
        <f>SUBTOTAL(9,[1]!Table1[[#This Row],[Online Learning]:[Other]])</f>
        <v>#VALUE!</v>
      </c>
      <c r="AM364" s="41"/>
      <c r="AN364" s="51"/>
      <c r="AO364" s="51"/>
      <c r="AP364" s="51"/>
      <c r="AQ364" s="51"/>
      <c r="AR364" s="51"/>
      <c r="AS364" s="51"/>
      <c r="AT364" s="51"/>
      <c r="AU364" s="51"/>
      <c r="AV364" s="45" t="e">
        <f>SUM([1]!Table1[[#This Row],[*Learning Model (Daniel)]:[Other2]])</f>
        <v>#VALUE!</v>
      </c>
      <c r="AW364" s="34"/>
      <c r="AX364" s="34"/>
      <c r="AY364" s="34"/>
    </row>
    <row r="365" spans="1:51">
      <c r="A365" s="31" t="s">
        <v>476</v>
      </c>
      <c r="B365" s="32" t="s">
        <v>195</v>
      </c>
      <c r="C365" s="32" t="b">
        <v>0</v>
      </c>
      <c r="D365" t="s">
        <v>475</v>
      </c>
      <c r="E365" s="32" t="s">
        <v>890</v>
      </c>
      <c r="F365" s="32" t="s">
        <v>0</v>
      </c>
      <c r="G365" s="32" t="s">
        <v>913</v>
      </c>
      <c r="H365" s="32" t="s">
        <v>477</v>
      </c>
      <c r="I365" s="33" t="s">
        <v>1468</v>
      </c>
      <c r="J365" s="33" t="s">
        <v>223</v>
      </c>
      <c r="K365" s="33"/>
      <c r="L365" s="34" t="s">
        <v>24</v>
      </c>
      <c r="M365" s="34" t="s">
        <v>48</v>
      </c>
      <c r="N365" s="6" t="s">
        <v>0</v>
      </c>
      <c r="O365" s="6"/>
      <c r="P365" s="36" t="s">
        <v>49</v>
      </c>
      <c r="Q365" s="6" t="s">
        <v>40</v>
      </c>
      <c r="R365" s="34">
        <v>65</v>
      </c>
      <c r="S365" s="34"/>
      <c r="T365" s="34" t="s">
        <v>1</v>
      </c>
      <c r="U365" s="37">
        <v>42795</v>
      </c>
      <c r="V365" s="37">
        <v>42948</v>
      </c>
      <c r="W365" s="38" t="e">
        <f>DATEDIF([1]!Table1[[#This Row],[Start Date*]],[1]!Table1[[#This Row],[End Date*]],"d")</f>
        <v>#VALUE!</v>
      </c>
      <c r="X365" s="39" t="e">
        <f>SUM([1]!Table1[[#This Row],[DB]:[EH]])</f>
        <v>#VALUE!</v>
      </c>
      <c r="Y365" s="34"/>
      <c r="Z365" s="34"/>
      <c r="AC365" s="34"/>
      <c r="AE365" s="34"/>
      <c r="AF365" s="40"/>
      <c r="AG365" s="34">
        <v>2</v>
      </c>
      <c r="AH365" s="34">
        <v>2</v>
      </c>
      <c r="AI365" s="34">
        <v>0</v>
      </c>
      <c r="AJ365" s="34">
        <v>2</v>
      </c>
      <c r="AK365" s="34">
        <v>0</v>
      </c>
      <c r="AL365" s="52" t="e">
        <f>SUBTOTAL(9,[1]!Table1[[#This Row],[Online Learning]:[Other]])</f>
        <v>#VALUE!</v>
      </c>
      <c r="AM365" s="42">
        <v>0</v>
      </c>
      <c r="AN365" s="43">
        <v>1</v>
      </c>
      <c r="AO365" s="44">
        <v>3</v>
      </c>
      <c r="AP365" s="44">
        <v>2</v>
      </c>
      <c r="AQ365" s="44">
        <v>1</v>
      </c>
      <c r="AR365" s="44">
        <v>0</v>
      </c>
      <c r="AS365" s="44">
        <v>1</v>
      </c>
      <c r="AT365" s="51">
        <v>1</v>
      </c>
      <c r="AU365" s="44">
        <v>0</v>
      </c>
      <c r="AV365" s="45" t="e">
        <f>SUM([1]!Table1[[#This Row],[*Learning Model (Daniel)]:[Other2]])</f>
        <v>#VALUE!</v>
      </c>
      <c r="AW365" s="34">
        <v>0</v>
      </c>
      <c r="AX365" s="34">
        <v>1</v>
      </c>
      <c r="AY365" s="34">
        <v>0</v>
      </c>
    </row>
    <row r="366" spans="1:51">
      <c r="A366" s="31" t="s">
        <v>197</v>
      </c>
      <c r="B366" s="32" t="s">
        <v>195</v>
      </c>
      <c r="C366" s="32" t="b">
        <v>0</v>
      </c>
      <c r="D366" t="s">
        <v>483</v>
      </c>
      <c r="E366" s="32" t="s">
        <v>890</v>
      </c>
      <c r="F366" s="32" t="s">
        <v>894</v>
      </c>
      <c r="G366" s="32" t="s">
        <v>904</v>
      </c>
      <c r="H366" s="32" t="s">
        <v>484</v>
      </c>
      <c r="I366" s="33" t="s">
        <v>1468</v>
      </c>
      <c r="J366" s="68" t="s">
        <v>198</v>
      </c>
      <c r="K366" s="33"/>
      <c r="L366" s="34" t="s">
        <v>24</v>
      </c>
      <c r="M366" s="34" t="s">
        <v>48</v>
      </c>
      <c r="N366" s="6" t="s">
        <v>56</v>
      </c>
      <c r="O366" s="6"/>
      <c r="P366" s="47" t="s">
        <v>39</v>
      </c>
      <c r="Q366" s="6"/>
      <c r="R366" s="34">
        <v>100</v>
      </c>
      <c r="S366" s="34" t="s">
        <v>199</v>
      </c>
      <c r="T366" s="34" t="s">
        <v>1</v>
      </c>
      <c r="U366" s="37">
        <v>42736</v>
      </c>
      <c r="V366" s="37">
        <v>42917</v>
      </c>
      <c r="W366" s="38" t="e">
        <f>DATEDIF([1]!Table1[[#This Row],[Start Date*]],[1]!Table1[[#This Row],[End Date*]],"d")</f>
        <v>#VALUE!</v>
      </c>
      <c r="X366" s="39" t="e">
        <f>SUM([1]!Table1[[#This Row],[DB]:[EH]])</f>
        <v>#VALUE!</v>
      </c>
      <c r="Y366" s="34"/>
      <c r="Z366" s="34"/>
      <c r="AC366" s="34"/>
      <c r="AE366" s="34"/>
      <c r="AF366" s="47"/>
      <c r="AG366" s="34">
        <v>0</v>
      </c>
      <c r="AH366" s="34">
        <v>2</v>
      </c>
      <c r="AI366" s="34">
        <v>1</v>
      </c>
      <c r="AJ366" s="34">
        <v>1</v>
      </c>
      <c r="AK366" s="34">
        <v>0</v>
      </c>
      <c r="AL366" s="41" t="e">
        <f>SUBTOTAL(9,[1]!Table1[[#This Row],[Online Learning]:[Other]])</f>
        <v>#VALUE!</v>
      </c>
      <c r="AM366" s="42">
        <v>1</v>
      </c>
      <c r="AN366" s="44">
        <v>0</v>
      </c>
      <c r="AO366" s="44">
        <v>0</v>
      </c>
      <c r="AP366" s="44">
        <v>1</v>
      </c>
      <c r="AQ366" s="44">
        <v>2</v>
      </c>
      <c r="AR366" s="44">
        <v>1</v>
      </c>
      <c r="AS366" s="44">
        <v>1</v>
      </c>
      <c r="AT366" s="44">
        <v>0</v>
      </c>
      <c r="AU366" s="44">
        <v>0</v>
      </c>
      <c r="AV366" s="45" t="e">
        <f>SUM([1]!Table1[[#This Row],[*Learning Model (Daniel)]:[Other2]])</f>
        <v>#VALUE!</v>
      </c>
      <c r="AW366" s="34">
        <v>0</v>
      </c>
      <c r="AX366" s="34">
        <v>0</v>
      </c>
      <c r="AY366" s="34">
        <v>2</v>
      </c>
    </row>
    <row r="367" spans="1:51">
      <c r="A367" s="31" t="s">
        <v>237</v>
      </c>
      <c r="B367" s="32" t="s">
        <v>195</v>
      </c>
      <c r="C367" s="32" t="b">
        <v>0</v>
      </c>
      <c r="D367" t="s">
        <v>513</v>
      </c>
      <c r="E367" s="32" t="s">
        <v>890</v>
      </c>
      <c r="F367" s="32" t="s">
        <v>895</v>
      </c>
      <c r="G367" s="32" t="s">
        <v>76</v>
      </c>
      <c r="H367" s="32" t="s">
        <v>514</v>
      </c>
      <c r="I367" s="33" t="s">
        <v>1468</v>
      </c>
      <c r="J367" s="33" t="s">
        <v>238</v>
      </c>
      <c r="K367" s="33"/>
      <c r="L367" s="34" t="s">
        <v>24</v>
      </c>
      <c r="M367" s="34" t="s">
        <v>25</v>
      </c>
      <c r="N367" s="6" t="s">
        <v>56</v>
      </c>
      <c r="O367" s="6"/>
      <c r="P367" s="47" t="s">
        <v>39</v>
      </c>
      <c r="Q367" s="6" t="s">
        <v>28</v>
      </c>
      <c r="R367" s="34">
        <v>100</v>
      </c>
      <c r="S367" s="34" t="s">
        <v>212</v>
      </c>
      <c r="T367" s="34" t="s">
        <v>1</v>
      </c>
      <c r="U367" s="37">
        <v>42614</v>
      </c>
      <c r="V367" s="37">
        <v>42705</v>
      </c>
      <c r="W367" s="38" t="e">
        <f>DATEDIF([1]!Table1[[#This Row],[Start Date*]],[1]!Table1[[#This Row],[End Date*]],"d")</f>
        <v>#VALUE!</v>
      </c>
      <c r="X367" s="39" t="e">
        <f>SUM([1]!Table1[[#This Row],[DB]:[EH]])</f>
        <v>#VALUE!</v>
      </c>
      <c r="Y367" s="34">
        <v>40</v>
      </c>
      <c r="Z367" s="34"/>
      <c r="AC367" s="34"/>
      <c r="AE367" s="34"/>
      <c r="AF367" s="47"/>
      <c r="AG367" s="34">
        <v>1</v>
      </c>
      <c r="AH367" s="34">
        <v>1</v>
      </c>
      <c r="AI367" s="34">
        <v>0</v>
      </c>
      <c r="AJ367" s="34">
        <v>0</v>
      </c>
      <c r="AK367" s="34">
        <v>0</v>
      </c>
      <c r="AL367" s="41" t="e">
        <f>SUBTOTAL(9,[1]!Table1[[#This Row],[Online Learning]:[Other]])</f>
        <v>#VALUE!</v>
      </c>
      <c r="AM367" s="42">
        <v>0</v>
      </c>
      <c r="AN367" s="44">
        <v>0</v>
      </c>
      <c r="AO367" s="44">
        <v>1</v>
      </c>
      <c r="AP367" s="44">
        <v>2</v>
      </c>
      <c r="AQ367" s="44">
        <v>3</v>
      </c>
      <c r="AR367" s="44">
        <v>0</v>
      </c>
      <c r="AS367" s="44">
        <v>1</v>
      </c>
      <c r="AT367" s="44">
        <v>5</v>
      </c>
      <c r="AU367" s="44">
        <v>0</v>
      </c>
      <c r="AV367" s="45" t="e">
        <f>SUM([1]!Table1[[#This Row],[*Learning Model (Daniel)]:[Other2]])</f>
        <v>#VALUE!</v>
      </c>
      <c r="AW367" s="34"/>
      <c r="AX367" s="34"/>
      <c r="AY367" s="34"/>
    </row>
    <row r="368" spans="1:51" ht="15.75">
      <c r="A368" s="31" t="s">
        <v>1471</v>
      </c>
      <c r="B368" s="32" t="s">
        <v>1472</v>
      </c>
      <c r="C368" s="32"/>
      <c r="D368" s="1"/>
      <c r="E368" s="32"/>
      <c r="F368" s="32"/>
      <c r="G368" s="32"/>
      <c r="H368" s="32"/>
      <c r="I368" s="33"/>
      <c r="J368" s="59" t="s">
        <v>207</v>
      </c>
      <c r="K368" s="33"/>
      <c r="L368" s="34" t="s">
        <v>24</v>
      </c>
      <c r="M368" s="34" t="s">
        <v>48</v>
      </c>
      <c r="N368" s="6"/>
      <c r="O368" s="6"/>
      <c r="P368" s="36"/>
      <c r="Q368" s="6"/>
      <c r="R368" s="34"/>
      <c r="S368" s="34"/>
      <c r="T368" s="34" t="s">
        <v>73</v>
      </c>
      <c r="U368" s="37">
        <v>43101</v>
      </c>
      <c r="V368" s="37">
        <v>43132</v>
      </c>
      <c r="W368" s="38" t="e">
        <f>DATEDIF([1]!Table1[[#This Row],[Start Date*]],[1]!Table1[[#This Row],[End Date*]],"d")</f>
        <v>#VALUE!</v>
      </c>
      <c r="X368" s="39" t="e">
        <f>SUM([1]!Table1[[#This Row],[DB]:[EH]])</f>
        <v>#VALUE!</v>
      </c>
      <c r="Y368" s="34"/>
      <c r="Z368" s="34"/>
      <c r="AC368" s="34"/>
      <c r="AE368" s="34"/>
      <c r="AF368" s="40"/>
      <c r="AG368" s="34"/>
      <c r="AH368" s="34"/>
      <c r="AI368" s="34"/>
      <c r="AJ368" s="34"/>
      <c r="AK368" s="34"/>
      <c r="AL368" s="41" t="e">
        <f>SUBTOTAL(9,[1]!Table1[[#This Row],[Online Learning]:[Other]])</f>
        <v>#VALUE!</v>
      </c>
      <c r="AM368" s="42"/>
      <c r="AN368" s="43"/>
      <c r="AO368" s="44"/>
      <c r="AP368" s="44"/>
      <c r="AQ368" s="44"/>
      <c r="AR368" s="44"/>
      <c r="AS368" s="44"/>
      <c r="AT368" s="44"/>
      <c r="AU368" s="44"/>
      <c r="AV368" s="45" t="e">
        <f>SUM([1]!Table1[[#This Row],[*Learning Model (Daniel)]:[Other2]])</f>
        <v>#VALUE!</v>
      </c>
      <c r="AW368" s="34"/>
      <c r="AX368" s="34"/>
      <c r="AY368" s="34"/>
    </row>
    <row r="369" spans="1:51">
      <c r="A369" s="31" t="s">
        <v>537</v>
      </c>
      <c r="B369" s="32" t="s">
        <v>195</v>
      </c>
      <c r="C369" s="32" t="b">
        <v>0</v>
      </c>
      <c r="D369" t="s">
        <v>536</v>
      </c>
      <c r="E369" s="32" t="s">
        <v>890</v>
      </c>
      <c r="F369" s="32" t="s">
        <v>896</v>
      </c>
      <c r="G369" s="32" t="s">
        <v>914</v>
      </c>
      <c r="H369" s="32" t="s">
        <v>538</v>
      </c>
      <c r="I369" s="33" t="s">
        <v>1468</v>
      </c>
      <c r="J369" s="46" t="s">
        <v>253</v>
      </c>
      <c r="K369" s="33"/>
      <c r="L369" s="34" t="s">
        <v>24</v>
      </c>
      <c r="M369" s="34" t="s">
        <v>48</v>
      </c>
      <c r="N369" s="6" t="s">
        <v>56</v>
      </c>
      <c r="O369" s="6"/>
      <c r="P369" s="47" t="s">
        <v>57</v>
      </c>
      <c r="Q369" s="6"/>
      <c r="R369" s="34">
        <v>100</v>
      </c>
      <c r="S369" s="34" t="s">
        <v>254</v>
      </c>
      <c r="T369" s="34" t="s">
        <v>1</v>
      </c>
      <c r="U369" s="37">
        <v>42491</v>
      </c>
      <c r="V369" s="37">
        <v>42644</v>
      </c>
      <c r="W369" s="38" t="e">
        <f>DATEDIF([1]!Table1[[#This Row],[Start Date*]],[1]!Table1[[#This Row],[End Date*]],"d")</f>
        <v>#VALUE!</v>
      </c>
      <c r="X369" s="39" t="e">
        <f>SUM([1]!Table1[[#This Row],[DB]:[EH]])</f>
        <v>#VALUE!</v>
      </c>
      <c r="Y369" s="34"/>
      <c r="Z369" s="34"/>
      <c r="AA369" s="34">
        <v>10</v>
      </c>
      <c r="AB369" s="34">
        <v>60</v>
      </c>
      <c r="AC369" s="34"/>
      <c r="AE369" s="34"/>
      <c r="AF369" s="47"/>
      <c r="AG369" s="34">
        <v>3</v>
      </c>
      <c r="AH369" s="34">
        <v>4</v>
      </c>
      <c r="AI369" s="34">
        <v>2</v>
      </c>
      <c r="AJ369" s="34">
        <v>3</v>
      </c>
      <c r="AK369" s="34">
        <v>0</v>
      </c>
      <c r="AL369" s="41" t="e">
        <f>SUBTOTAL(9,[1]!Table1[[#This Row],[Online Learning]:[Other]])</f>
        <v>#VALUE!</v>
      </c>
      <c r="AM369" s="42">
        <v>0</v>
      </c>
      <c r="AN369" s="44">
        <v>2</v>
      </c>
      <c r="AO369" s="44">
        <v>2</v>
      </c>
      <c r="AP369" s="44">
        <v>2</v>
      </c>
      <c r="AQ369" s="44">
        <v>3</v>
      </c>
      <c r="AR369" s="44">
        <v>0</v>
      </c>
      <c r="AS369" s="44">
        <v>2</v>
      </c>
      <c r="AT369" s="44">
        <v>4</v>
      </c>
      <c r="AU369" s="44">
        <v>0</v>
      </c>
      <c r="AV369" s="45" t="e">
        <f>SUM([1]!Table1[[#This Row],[*Learning Model (Daniel)]:[Other2]])</f>
        <v>#VALUE!</v>
      </c>
      <c r="AW369" s="34">
        <v>0</v>
      </c>
      <c r="AX369" s="34">
        <v>3</v>
      </c>
      <c r="AY369" s="34">
        <v>0</v>
      </c>
    </row>
    <row r="370" spans="1:51">
      <c r="A370" s="31" t="s">
        <v>497</v>
      </c>
      <c r="B370" s="32" t="s">
        <v>195</v>
      </c>
      <c r="C370" s="32" t="b">
        <v>0</v>
      </c>
      <c r="D370" t="s">
        <v>496</v>
      </c>
      <c r="E370" s="32" t="s">
        <v>890</v>
      </c>
      <c r="F370" s="32" t="s">
        <v>895</v>
      </c>
      <c r="G370" s="32" t="s">
        <v>926</v>
      </c>
      <c r="H370" s="32" t="s">
        <v>498</v>
      </c>
      <c r="I370" s="33" t="s">
        <v>1468</v>
      </c>
      <c r="J370" s="67" t="s">
        <v>227</v>
      </c>
      <c r="K370" s="33"/>
      <c r="L370" s="34" t="s">
        <v>24</v>
      </c>
      <c r="M370" s="34" t="s">
        <v>37</v>
      </c>
      <c r="N370" s="6" t="s">
        <v>56</v>
      </c>
      <c r="O370" s="6"/>
      <c r="P370" s="47"/>
      <c r="Q370" s="6"/>
      <c r="R370" s="34">
        <v>100</v>
      </c>
      <c r="S370" s="34"/>
      <c r="T370" s="34" t="s">
        <v>1</v>
      </c>
      <c r="U370" s="37">
        <v>42644</v>
      </c>
      <c r="V370" s="37">
        <v>42736</v>
      </c>
      <c r="W370" s="38" t="e">
        <f>DATEDIF([1]!Table1[[#This Row],[Start Date*]],[1]!Table1[[#This Row],[End Date*]],"d")</f>
        <v>#VALUE!</v>
      </c>
      <c r="X370" s="39" t="e">
        <f>SUM([1]!Table1[[#This Row],[DB]:[EH]])</f>
        <v>#VALUE!</v>
      </c>
      <c r="Y370" s="34"/>
      <c r="Z370" s="34">
        <v>30</v>
      </c>
      <c r="AC370" s="34"/>
      <c r="AE370" s="34"/>
      <c r="AF370" s="47"/>
      <c r="AG370" s="34"/>
      <c r="AH370" s="34"/>
      <c r="AI370" s="34"/>
      <c r="AJ370" s="34"/>
      <c r="AK370" s="34"/>
      <c r="AL370" s="41" t="e">
        <f>SUBTOTAL(9,[1]!Table1[[#This Row],[Online Learning]:[Other]])</f>
        <v>#VALUE!</v>
      </c>
      <c r="AM370" s="42"/>
      <c r="AN370" s="44"/>
      <c r="AO370" s="44"/>
      <c r="AP370" s="44"/>
      <c r="AQ370" s="44"/>
      <c r="AR370" s="44"/>
      <c r="AS370" s="44"/>
      <c r="AT370" s="44"/>
      <c r="AU370" s="44"/>
      <c r="AV370" s="45" t="e">
        <f>SUM([1]!Table1[[#This Row],[*Learning Model (Daniel)]:[Other2]])</f>
        <v>#VALUE!</v>
      </c>
      <c r="AW370" s="34"/>
      <c r="AX370" s="34"/>
      <c r="AY370" s="34"/>
    </row>
    <row r="371" spans="1:51">
      <c r="A371" s="31" t="s">
        <v>385</v>
      </c>
      <c r="B371" s="32" t="s">
        <v>195</v>
      </c>
      <c r="C371" s="32" t="b">
        <v>0</v>
      </c>
      <c r="D371" t="s">
        <v>384</v>
      </c>
      <c r="E371" s="32" t="s">
        <v>890</v>
      </c>
      <c r="F371" s="32" t="s">
        <v>892</v>
      </c>
      <c r="G371" s="32"/>
      <c r="H371" s="32" t="s">
        <v>386</v>
      </c>
      <c r="I371" s="33" t="s">
        <v>1468</v>
      </c>
      <c r="J371" s="46" t="s">
        <v>208</v>
      </c>
      <c r="K371" s="33"/>
      <c r="L371" s="34" t="s">
        <v>24</v>
      </c>
      <c r="M371" s="35"/>
      <c r="N371" s="6"/>
      <c r="O371" s="6"/>
      <c r="P371" s="36" t="s">
        <v>39</v>
      </c>
      <c r="Q371" s="6"/>
      <c r="R371" s="34"/>
      <c r="S371" s="34"/>
      <c r="T371" s="34"/>
      <c r="U371" s="37">
        <v>43101</v>
      </c>
      <c r="V371" s="37">
        <v>43132</v>
      </c>
      <c r="W371" s="38" t="e">
        <f>DATEDIF([1]!Table1[[#This Row],[Start Date*]],[1]!Table1[[#This Row],[End Date*]],"d")</f>
        <v>#VALUE!</v>
      </c>
      <c r="X371" s="39" t="e">
        <f>SUM([1]!Table1[[#This Row],[DB]:[EH]])</f>
        <v>#VALUE!</v>
      </c>
      <c r="Y371" s="34"/>
      <c r="Z371" s="34"/>
      <c r="AC371" s="34"/>
      <c r="AE371" s="34"/>
      <c r="AF371" s="40">
        <v>2</v>
      </c>
      <c r="AG371" s="34">
        <v>1</v>
      </c>
      <c r="AH371" s="34">
        <v>4</v>
      </c>
      <c r="AI371" s="34">
        <v>3</v>
      </c>
      <c r="AJ371" s="34">
        <v>2</v>
      </c>
      <c r="AK371" s="34">
        <v>0</v>
      </c>
      <c r="AL371" s="41" t="e">
        <f>SUBTOTAL(9,[1]!Table1[[#This Row],[Online Learning]:[Other]])</f>
        <v>#VALUE!</v>
      </c>
      <c r="AM371" s="42">
        <v>0</v>
      </c>
      <c r="AN371" s="43">
        <v>0</v>
      </c>
      <c r="AO371" s="44">
        <v>1</v>
      </c>
      <c r="AP371" s="44">
        <v>2</v>
      </c>
      <c r="AQ371" s="44">
        <v>2</v>
      </c>
      <c r="AR371" s="44">
        <v>0</v>
      </c>
      <c r="AS371" s="44">
        <v>2</v>
      </c>
      <c r="AT371" s="44">
        <v>5</v>
      </c>
      <c r="AU371" s="44">
        <v>0</v>
      </c>
      <c r="AV371" s="45" t="e">
        <f>SUM([1]!Table1[[#This Row],[*Learning Model (Daniel)]:[Other2]])</f>
        <v>#VALUE!</v>
      </c>
      <c r="AW371" s="34">
        <v>0</v>
      </c>
      <c r="AX371" s="34">
        <v>0</v>
      </c>
      <c r="AY371" s="34">
        <v>2</v>
      </c>
    </row>
    <row r="372" spans="1:51">
      <c r="A372" s="31" t="s">
        <v>528</v>
      </c>
      <c r="B372" s="32" t="s">
        <v>195</v>
      </c>
      <c r="C372" s="32" t="b">
        <v>0</v>
      </c>
      <c r="D372" t="s">
        <v>527</v>
      </c>
      <c r="E372" s="32" t="s">
        <v>890</v>
      </c>
      <c r="F372" s="32" t="s">
        <v>896</v>
      </c>
      <c r="G372" s="32" t="s">
        <v>81</v>
      </c>
      <c r="H372" s="32" t="s">
        <v>529</v>
      </c>
      <c r="I372" s="33" t="s">
        <v>1468</v>
      </c>
      <c r="J372" s="67" t="s">
        <v>239</v>
      </c>
      <c r="K372" s="33"/>
      <c r="L372" s="34" t="s">
        <v>24</v>
      </c>
      <c r="M372" s="34" t="s">
        <v>37</v>
      </c>
      <c r="N372" s="6" t="s">
        <v>56</v>
      </c>
      <c r="O372" s="6"/>
      <c r="P372" s="47"/>
      <c r="Q372" s="6"/>
      <c r="R372" s="34">
        <v>100</v>
      </c>
      <c r="S372" s="34"/>
      <c r="T372" s="34" t="s">
        <v>1</v>
      </c>
      <c r="U372" s="37">
        <v>42644</v>
      </c>
      <c r="V372" s="37">
        <v>42705</v>
      </c>
      <c r="W372" s="38" t="e">
        <f>DATEDIF([1]!Table1[[#This Row],[Start Date*]],[1]!Table1[[#This Row],[End Date*]],"d")</f>
        <v>#VALUE!</v>
      </c>
      <c r="X372" s="48" t="e">
        <f>SUM([1]!Table1[[#This Row],[DB]:[EH]])</f>
        <v>#VALUE!</v>
      </c>
      <c r="Y372" s="34">
        <v>20</v>
      </c>
      <c r="Z372" s="34">
        <v>30</v>
      </c>
      <c r="AC372" s="34"/>
      <c r="AE372" s="34"/>
      <c r="AF372" s="47"/>
      <c r="AG372" s="34">
        <v>3</v>
      </c>
      <c r="AH372" s="34">
        <v>3</v>
      </c>
      <c r="AI372" s="34">
        <v>3</v>
      </c>
      <c r="AJ372" s="34">
        <v>1</v>
      </c>
      <c r="AK372" s="34">
        <v>0</v>
      </c>
      <c r="AL372" s="41" t="e">
        <f>SUBTOTAL(9,[1]!Table1[[#This Row],[Online Learning]:[Other]])</f>
        <v>#VALUE!</v>
      </c>
      <c r="AM372" s="42"/>
      <c r="AN372" s="44"/>
      <c r="AO372" s="44"/>
      <c r="AP372" s="44"/>
      <c r="AQ372" s="44"/>
      <c r="AR372" s="44"/>
      <c r="AS372" s="44"/>
      <c r="AT372" s="44"/>
      <c r="AU372" s="44"/>
      <c r="AV372" s="45" t="e">
        <f>SUM([1]!Table1[[#This Row],[*Learning Model (Daniel)]:[Other2]])</f>
        <v>#VALUE!</v>
      </c>
      <c r="AW372" s="34"/>
      <c r="AX372" s="34"/>
      <c r="AY372" s="34"/>
    </row>
    <row r="373" spans="1:51">
      <c r="A373" s="31" t="s">
        <v>1164</v>
      </c>
      <c r="B373" s="32" t="s">
        <v>195</v>
      </c>
      <c r="C373" s="32" t="b">
        <v>0</v>
      </c>
      <c r="D373" t="s">
        <v>1163</v>
      </c>
      <c r="E373" s="32" t="s">
        <v>890</v>
      </c>
      <c r="F373" s="32" t="s">
        <v>893</v>
      </c>
      <c r="G373" s="32" t="s">
        <v>922</v>
      </c>
      <c r="H373" s="32" t="s">
        <v>1165</v>
      </c>
      <c r="I373" s="33" t="s">
        <v>1468</v>
      </c>
      <c r="J373" s="33" t="s">
        <v>1473</v>
      </c>
      <c r="K373" s="33"/>
      <c r="L373" s="34" t="s">
        <v>24</v>
      </c>
      <c r="M373" s="34" t="s">
        <v>84</v>
      </c>
      <c r="N373" s="6" t="s">
        <v>26</v>
      </c>
      <c r="O373" s="6"/>
      <c r="P373" s="36" t="s">
        <v>57</v>
      </c>
      <c r="Q373" s="6"/>
      <c r="R373" s="34">
        <v>0</v>
      </c>
      <c r="S373" s="34"/>
      <c r="T373" s="34" t="s">
        <v>1</v>
      </c>
      <c r="U373" s="37">
        <v>42948</v>
      </c>
      <c r="V373" s="37">
        <v>43252</v>
      </c>
      <c r="W373" s="38" t="e">
        <f>DATEDIF([1]!Table1[[#This Row],[Start Date*]],[1]!Table1[[#This Row],[End Date*]],"d")</f>
        <v>#VALUE!</v>
      </c>
      <c r="X373" s="39" t="e">
        <f>SUM([1]!Table1[[#This Row],[DB]:[EH]])</f>
        <v>#VALUE!</v>
      </c>
      <c r="Y373" s="34"/>
      <c r="Z373" s="34"/>
      <c r="AC373" s="34"/>
      <c r="AE373" s="34"/>
      <c r="AF373" s="40">
        <v>2</v>
      </c>
      <c r="AG373" s="34">
        <v>3</v>
      </c>
      <c r="AH373" s="34">
        <v>3</v>
      </c>
      <c r="AI373" s="34">
        <v>3</v>
      </c>
      <c r="AJ373" s="34">
        <v>1</v>
      </c>
      <c r="AK373" s="34">
        <v>0</v>
      </c>
      <c r="AL373" s="41" t="e">
        <f>SUBTOTAL(9,[1]!Table1[[#This Row],[Online Learning]:[Other]])</f>
        <v>#VALUE!</v>
      </c>
      <c r="AM373" s="42">
        <v>0</v>
      </c>
      <c r="AN373" s="44">
        <v>3</v>
      </c>
      <c r="AO373" s="44">
        <v>4</v>
      </c>
      <c r="AP373" s="44">
        <v>3</v>
      </c>
      <c r="AQ373" s="44">
        <v>3</v>
      </c>
      <c r="AR373" s="44">
        <v>0</v>
      </c>
      <c r="AS373" s="44">
        <v>2</v>
      </c>
      <c r="AT373" s="51">
        <v>2</v>
      </c>
      <c r="AU373" s="44">
        <v>0</v>
      </c>
      <c r="AV373" s="45" t="e">
        <f>SUM([1]!Table1[[#This Row],[*Learning Model (Daniel)]:[Other2]])</f>
        <v>#VALUE!</v>
      </c>
      <c r="AW373" s="34">
        <v>1</v>
      </c>
      <c r="AX373" s="34">
        <v>3</v>
      </c>
      <c r="AY373" s="34">
        <v>1</v>
      </c>
    </row>
    <row r="374" spans="1:51">
      <c r="A374" s="31" t="s">
        <v>216</v>
      </c>
      <c r="B374" s="32" t="s">
        <v>195</v>
      </c>
      <c r="C374" s="32" t="b">
        <v>0</v>
      </c>
      <c r="D374" s="54" t="s">
        <v>382</v>
      </c>
      <c r="E374" s="32" t="s">
        <v>890</v>
      </c>
      <c r="F374" s="32" t="s">
        <v>892</v>
      </c>
      <c r="G374" s="32"/>
      <c r="H374" s="32" t="s">
        <v>383</v>
      </c>
      <c r="I374" s="33" t="s">
        <v>1468</v>
      </c>
      <c r="J374" s="67" t="s">
        <v>217</v>
      </c>
      <c r="K374" s="33"/>
      <c r="L374" s="34" t="s">
        <v>24</v>
      </c>
      <c r="M374" s="35"/>
      <c r="N374" s="6"/>
      <c r="O374" s="6"/>
      <c r="P374" s="47" t="s">
        <v>49</v>
      </c>
      <c r="Q374" s="6"/>
      <c r="R374" s="34">
        <v>0</v>
      </c>
      <c r="S374" s="34"/>
      <c r="T374" s="34"/>
      <c r="U374" s="37">
        <v>43101</v>
      </c>
      <c r="V374" s="37">
        <v>43132</v>
      </c>
      <c r="W374" s="38" t="e">
        <f>DATEDIF([1]!Table1[[#This Row],[Start Date*]],[1]!Table1[[#This Row],[End Date*]],"d")</f>
        <v>#VALUE!</v>
      </c>
      <c r="X374" s="39" t="e">
        <f>SUM([1]!Table1[[#This Row],[DB]:[EH]])</f>
        <v>#VALUE!</v>
      </c>
      <c r="Y374" s="34"/>
      <c r="Z374" s="34"/>
      <c r="AC374" s="34"/>
      <c r="AE374" s="34"/>
      <c r="AF374" s="40">
        <v>2</v>
      </c>
      <c r="AG374" s="34">
        <v>2</v>
      </c>
      <c r="AH374" s="34">
        <v>3</v>
      </c>
      <c r="AI374" s="34">
        <v>1</v>
      </c>
      <c r="AJ374" s="34">
        <v>0</v>
      </c>
      <c r="AK374" s="34">
        <v>0</v>
      </c>
      <c r="AL374" s="52" t="e">
        <f>SUBTOTAL(9,[1]!Table1[[#This Row],[Online Learning]:[Other]])</f>
        <v>#VALUE!</v>
      </c>
      <c r="AM374" s="42">
        <v>0</v>
      </c>
      <c r="AN374" s="43">
        <v>0</v>
      </c>
      <c r="AO374" s="44">
        <v>0</v>
      </c>
      <c r="AP374" s="44">
        <v>0</v>
      </c>
      <c r="AQ374" s="44">
        <v>3</v>
      </c>
      <c r="AR374" s="44">
        <v>0</v>
      </c>
      <c r="AS374" s="44">
        <v>4</v>
      </c>
      <c r="AT374" s="44">
        <v>0</v>
      </c>
      <c r="AU374" s="44">
        <v>0</v>
      </c>
      <c r="AV374" s="45" t="e">
        <f>SUM([1]!Table1[[#This Row],[*Learning Model (Daniel)]:[Other2]])</f>
        <v>#VALUE!</v>
      </c>
      <c r="AW374" s="34">
        <v>0</v>
      </c>
      <c r="AX374" s="34">
        <v>0</v>
      </c>
      <c r="AY374" s="34">
        <v>3</v>
      </c>
    </row>
    <row r="375" spans="1:51">
      <c r="A375" s="31" t="s">
        <v>491</v>
      </c>
      <c r="B375" s="32" t="s">
        <v>195</v>
      </c>
      <c r="C375" s="32" t="b">
        <v>0</v>
      </c>
      <c r="D375" t="s">
        <v>490</v>
      </c>
      <c r="E375" s="32" t="s">
        <v>890</v>
      </c>
      <c r="F375" s="32" t="s">
        <v>894</v>
      </c>
      <c r="G375" s="32" t="s">
        <v>906</v>
      </c>
      <c r="H375" s="32" t="s">
        <v>492</v>
      </c>
      <c r="I375" s="33" t="s">
        <v>1468</v>
      </c>
      <c r="J375" s="33" t="s">
        <v>226</v>
      </c>
      <c r="K375" s="33"/>
      <c r="L375" s="34" t="s">
        <v>24</v>
      </c>
      <c r="M375" s="34" t="s">
        <v>37</v>
      </c>
      <c r="N375" s="6" t="s">
        <v>56</v>
      </c>
      <c r="O375" s="6"/>
      <c r="P375" s="47" t="s">
        <v>57</v>
      </c>
      <c r="Q375" s="6" t="s">
        <v>28</v>
      </c>
      <c r="R375" s="34">
        <v>100</v>
      </c>
      <c r="S375" s="34" t="s">
        <v>199</v>
      </c>
      <c r="T375" s="34" t="s">
        <v>35</v>
      </c>
      <c r="U375" s="37">
        <v>42736</v>
      </c>
      <c r="V375" s="37">
        <v>42917</v>
      </c>
      <c r="W375" s="38" t="e">
        <f>DATEDIF([1]!Table1[[#This Row],[Start Date*]],[1]!Table1[[#This Row],[End Date*]],"d")</f>
        <v>#VALUE!</v>
      </c>
      <c r="X375" s="39" t="e">
        <f>SUM([1]!Table1[[#This Row],[DB]:[EH]])</f>
        <v>#VALUE!</v>
      </c>
      <c r="Y375" s="34"/>
      <c r="Z375" s="34">
        <v>100</v>
      </c>
      <c r="AC375" s="34"/>
      <c r="AE375" s="34"/>
      <c r="AF375" s="47"/>
      <c r="AG375" s="34">
        <v>2</v>
      </c>
      <c r="AH375" s="34">
        <v>1</v>
      </c>
      <c r="AI375" s="34">
        <v>5</v>
      </c>
      <c r="AJ375" s="34">
        <v>0</v>
      </c>
      <c r="AK375" s="34">
        <v>0</v>
      </c>
      <c r="AL375" s="41" t="e">
        <f>SUBTOTAL(9,[1]!Table1[[#This Row],[Online Learning]:[Other]])</f>
        <v>#VALUE!</v>
      </c>
      <c r="AM375" s="42">
        <v>0</v>
      </c>
      <c r="AN375" s="44">
        <v>4</v>
      </c>
      <c r="AO375" s="44">
        <v>2</v>
      </c>
      <c r="AP375" s="44">
        <v>2</v>
      </c>
      <c r="AQ375" s="44">
        <v>2</v>
      </c>
      <c r="AR375" s="44">
        <v>0</v>
      </c>
      <c r="AS375" s="44">
        <v>0</v>
      </c>
      <c r="AT375" s="44">
        <v>0</v>
      </c>
      <c r="AU375" s="44">
        <v>0</v>
      </c>
      <c r="AV375" s="45" t="e">
        <f>SUM([1]!Table1[[#This Row],[*Learning Model (Daniel)]:[Other2]])</f>
        <v>#VALUE!</v>
      </c>
      <c r="AW375" s="34">
        <v>0</v>
      </c>
      <c r="AX375" s="34">
        <v>3</v>
      </c>
      <c r="AY375" s="34">
        <v>5</v>
      </c>
    </row>
    <row r="376" spans="1:51">
      <c r="A376" s="31" t="s">
        <v>194</v>
      </c>
      <c r="B376" s="32" t="s">
        <v>195</v>
      </c>
      <c r="C376" s="32" t="b">
        <v>0</v>
      </c>
      <c r="D376" t="s">
        <v>463</v>
      </c>
      <c r="E376" s="32" t="s">
        <v>890</v>
      </c>
      <c r="F376" s="32" t="s">
        <v>0</v>
      </c>
      <c r="G376" s="32" t="s">
        <v>81</v>
      </c>
      <c r="H376" s="32" t="s">
        <v>464</v>
      </c>
      <c r="I376" s="33" t="s">
        <v>1468</v>
      </c>
      <c r="J376" s="67" t="s">
        <v>196</v>
      </c>
      <c r="K376" s="33"/>
      <c r="L376" s="34" t="s">
        <v>24</v>
      </c>
      <c r="M376" s="35" t="s">
        <v>37</v>
      </c>
      <c r="N376" s="6" t="s">
        <v>0</v>
      </c>
      <c r="O376" s="6"/>
      <c r="P376" s="36" t="s">
        <v>49</v>
      </c>
      <c r="Q376" s="6"/>
      <c r="R376" s="34"/>
      <c r="S376" s="34"/>
      <c r="T376" s="34" t="s">
        <v>35</v>
      </c>
      <c r="U376" s="37">
        <v>42948</v>
      </c>
      <c r="V376" s="37">
        <v>43101</v>
      </c>
      <c r="W376" s="38" t="e">
        <f>DATEDIF([1]!Table1[[#This Row],[Start Date*]],[1]!Table1[[#This Row],[End Date*]],"d")</f>
        <v>#VALUE!</v>
      </c>
      <c r="X376" s="39" t="e">
        <f>SUM([1]!Table1[[#This Row],[DB]:[EH]])</f>
        <v>#VALUE!</v>
      </c>
      <c r="Y376" s="34"/>
      <c r="Z376" s="34"/>
      <c r="AC376" s="34"/>
      <c r="AE376" s="34"/>
      <c r="AF376" s="40">
        <v>1</v>
      </c>
      <c r="AG376" s="34">
        <v>2</v>
      </c>
      <c r="AH376" s="34">
        <v>1</v>
      </c>
      <c r="AI376" s="34">
        <v>5</v>
      </c>
      <c r="AJ376" s="34">
        <v>0</v>
      </c>
      <c r="AK376" s="34">
        <v>0</v>
      </c>
      <c r="AL376" s="41" t="e">
        <f>SUBTOTAL(9,[1]!Table1[[#This Row],[Online Learning]:[Other]])</f>
        <v>#VALUE!</v>
      </c>
      <c r="AM376" s="42">
        <v>0</v>
      </c>
      <c r="AN376" s="43">
        <v>4</v>
      </c>
      <c r="AO376" s="44">
        <v>2</v>
      </c>
      <c r="AP376" s="44">
        <v>2</v>
      </c>
      <c r="AQ376" s="44">
        <v>2</v>
      </c>
      <c r="AR376" s="44">
        <v>0</v>
      </c>
      <c r="AS376" s="44">
        <v>0</v>
      </c>
      <c r="AT376" s="44">
        <v>0</v>
      </c>
      <c r="AU376" s="44">
        <v>0</v>
      </c>
      <c r="AV376" s="45" t="e">
        <f>SUM([1]!Table1[[#This Row],[*Learning Model (Daniel)]:[Other2]])</f>
        <v>#VALUE!</v>
      </c>
      <c r="AW376" s="34">
        <v>0</v>
      </c>
      <c r="AX376" s="34">
        <v>3</v>
      </c>
      <c r="AY376" s="34">
        <v>5</v>
      </c>
    </row>
    <row r="377" spans="1:51" ht="15.75">
      <c r="A377" s="31" t="s">
        <v>1474</v>
      </c>
      <c r="B377" s="32" t="s">
        <v>195</v>
      </c>
      <c r="C377" s="32"/>
      <c r="D377" s="1"/>
      <c r="E377" s="32"/>
      <c r="F377" s="32"/>
      <c r="G377" s="32"/>
      <c r="H377" s="32"/>
      <c r="I377" s="33"/>
      <c r="J377" s="61" t="s">
        <v>236</v>
      </c>
      <c r="K377" s="33"/>
      <c r="L377" s="34" t="s">
        <v>36</v>
      </c>
      <c r="M377" s="34" t="s">
        <v>25</v>
      </c>
      <c r="N377" s="6" t="s">
        <v>56</v>
      </c>
      <c r="O377" s="6"/>
      <c r="P377" s="36" t="s">
        <v>39</v>
      </c>
      <c r="Q377" s="6" t="s">
        <v>28</v>
      </c>
      <c r="R377" s="34">
        <v>100</v>
      </c>
      <c r="S377" s="34" t="s">
        <v>199</v>
      </c>
      <c r="T377" s="34" t="s">
        <v>1</v>
      </c>
      <c r="U377" s="37">
        <v>42887</v>
      </c>
      <c r="V377" s="37">
        <v>42917</v>
      </c>
      <c r="W377" s="38" t="e">
        <f>DATEDIF([1]!Table1[[#This Row],[Start Date*]],[1]!Table1[[#This Row],[End Date*]],"d")</f>
        <v>#VALUE!</v>
      </c>
      <c r="X377" s="39" t="e">
        <f>SUM([1]!Table1[[#This Row],[DB]:[EH]])</f>
        <v>#VALUE!</v>
      </c>
      <c r="Y377" s="34"/>
      <c r="Z377" s="34"/>
      <c r="AC377" s="34"/>
      <c r="AE377" s="34"/>
      <c r="AF377" s="40"/>
      <c r="AG377" s="34">
        <v>1</v>
      </c>
      <c r="AH377" s="34">
        <v>1</v>
      </c>
      <c r="AI377" s="34">
        <v>1</v>
      </c>
      <c r="AJ377" s="34">
        <v>0</v>
      </c>
      <c r="AK377" s="34">
        <v>0</v>
      </c>
      <c r="AL377" s="41" t="e">
        <f>SUBTOTAL(9,[1]!Table1[[#This Row],[Online Learning]:[Other]])</f>
        <v>#VALUE!</v>
      </c>
      <c r="AM377" s="42">
        <v>0</v>
      </c>
      <c r="AN377" s="43">
        <v>0</v>
      </c>
      <c r="AO377" s="44">
        <v>0</v>
      </c>
      <c r="AP377" s="44">
        <v>0</v>
      </c>
      <c r="AQ377" s="44">
        <v>0</v>
      </c>
      <c r="AR377" s="44">
        <v>0</v>
      </c>
      <c r="AS377" s="44">
        <v>0</v>
      </c>
      <c r="AT377" s="44">
        <v>3</v>
      </c>
      <c r="AU377" s="44">
        <v>0</v>
      </c>
      <c r="AV377" s="45" t="e">
        <f>SUM([1]!Table1[[#This Row],[*Learning Model (Daniel)]:[Other2]])</f>
        <v>#VALUE!</v>
      </c>
      <c r="AW377" s="34">
        <v>0</v>
      </c>
      <c r="AX377" s="34">
        <v>0</v>
      </c>
      <c r="AY377" s="34">
        <v>0</v>
      </c>
    </row>
    <row r="378" spans="1:51" ht="15.75">
      <c r="A378" s="31" t="s">
        <v>1475</v>
      </c>
      <c r="B378" s="40"/>
      <c r="C378" s="40"/>
      <c r="D378" s="1"/>
      <c r="E378" s="40"/>
      <c r="F378" s="40"/>
      <c r="G378" s="40"/>
      <c r="H378" s="40"/>
      <c r="I378" s="34"/>
      <c r="J378" s="60" t="s">
        <v>207</v>
      </c>
      <c r="K378" s="33"/>
      <c r="L378" s="34" t="s">
        <v>54</v>
      </c>
      <c r="M378" s="34" t="s">
        <v>65</v>
      </c>
      <c r="N378" s="6" t="s">
        <v>0</v>
      </c>
      <c r="O378" s="6"/>
      <c r="P378" s="47"/>
      <c r="Q378" s="6"/>
      <c r="R378" s="34">
        <v>30</v>
      </c>
      <c r="S378" s="34"/>
      <c r="T378" s="34"/>
      <c r="U378" s="37">
        <v>43101</v>
      </c>
      <c r="V378" s="37">
        <v>43132</v>
      </c>
      <c r="W378" s="38" t="e">
        <f>DATEDIF([1]!Table1[[#This Row],[Start Date*]],[1]!Table1[[#This Row],[End Date*]],"d")</f>
        <v>#VALUE!</v>
      </c>
      <c r="X378" s="39" t="e">
        <f>SUM([1]!Table1[[#This Row],[DB]:[EH]])</f>
        <v>#VALUE!</v>
      </c>
      <c r="Y378" s="34"/>
      <c r="Z378" s="34"/>
      <c r="AC378" s="34"/>
      <c r="AD378" s="34">
        <v>30</v>
      </c>
      <c r="AE378" s="34"/>
      <c r="AF378" s="47"/>
      <c r="AG378" s="34"/>
      <c r="AH378" s="34"/>
      <c r="AI378" s="34"/>
      <c r="AJ378" s="34"/>
      <c r="AK378" s="34"/>
      <c r="AL378" s="41" t="e">
        <f>SUBTOTAL(9,[1]!Table1[[#This Row],[Online Learning]:[Other]])</f>
        <v>#VALUE!</v>
      </c>
      <c r="AM378" s="41"/>
      <c r="AN378" s="51"/>
      <c r="AO378" s="51"/>
      <c r="AP378" s="51"/>
      <c r="AQ378" s="51"/>
      <c r="AR378" s="51"/>
      <c r="AS378" s="51"/>
      <c r="AT378" s="51"/>
      <c r="AU378" s="51"/>
      <c r="AV378" s="45" t="e">
        <f>SUM([1]!Table1[[#This Row],[*Learning Model (Daniel)]:[Other2]])</f>
        <v>#VALUE!</v>
      </c>
      <c r="AW378" s="34"/>
      <c r="AX378" s="34"/>
      <c r="AY378" s="34"/>
    </row>
    <row r="379" spans="1:51">
      <c r="A379" s="31" t="s">
        <v>264</v>
      </c>
      <c r="B379" s="32" t="s">
        <v>195</v>
      </c>
      <c r="C379" s="32" t="b">
        <v>0</v>
      </c>
      <c r="D379" t="s">
        <v>440</v>
      </c>
      <c r="E379" s="32" t="s">
        <v>890</v>
      </c>
      <c r="F379" s="32" t="s">
        <v>26</v>
      </c>
      <c r="G379" s="32" t="s">
        <v>923</v>
      </c>
      <c r="H379" s="32" t="s">
        <v>441</v>
      </c>
      <c r="I379" s="33" t="s">
        <v>1468</v>
      </c>
      <c r="J379" s="33" t="s">
        <v>265</v>
      </c>
      <c r="K379" s="33"/>
      <c r="L379" s="34" t="s">
        <v>24</v>
      </c>
      <c r="M379" s="34" t="s">
        <v>84</v>
      </c>
      <c r="N379" s="6" t="s">
        <v>26</v>
      </c>
      <c r="O379" s="6"/>
      <c r="P379" s="36" t="s">
        <v>57</v>
      </c>
      <c r="Q379" s="6"/>
      <c r="R379" s="34">
        <v>0</v>
      </c>
      <c r="S379" s="34"/>
      <c r="T379" s="34" t="s">
        <v>73</v>
      </c>
      <c r="U379" s="37">
        <v>42948</v>
      </c>
      <c r="V379" s="37">
        <v>43191</v>
      </c>
      <c r="W379" s="38" t="e">
        <f>DATEDIF([1]!Table1[[#This Row],[Start Date*]],[1]!Table1[[#This Row],[End Date*]],"d")</f>
        <v>#VALUE!</v>
      </c>
      <c r="X379" s="39" t="e">
        <f>SUM([1]!Table1[[#This Row],[DB]:[EH]])</f>
        <v>#VALUE!</v>
      </c>
      <c r="Y379" s="34"/>
      <c r="Z379" s="34"/>
      <c r="AC379" s="34"/>
      <c r="AE379" s="34"/>
      <c r="AF379" s="40">
        <v>1</v>
      </c>
      <c r="AG379" s="34">
        <v>5</v>
      </c>
      <c r="AH379" s="34">
        <v>1</v>
      </c>
      <c r="AI379" s="34">
        <v>1</v>
      </c>
      <c r="AJ379" s="34">
        <v>0</v>
      </c>
      <c r="AK379" s="34">
        <v>0</v>
      </c>
      <c r="AL379" s="52" t="e">
        <f>SUBTOTAL(9,[1]!Table1[[#This Row],[Online Learning]:[Other]])</f>
        <v>#VALUE!</v>
      </c>
      <c r="AM379" s="49">
        <v>3</v>
      </c>
      <c r="AN379" s="43">
        <v>0</v>
      </c>
      <c r="AO379" s="43">
        <v>0</v>
      </c>
      <c r="AP379" s="43">
        <v>5</v>
      </c>
      <c r="AQ379" s="43">
        <v>1</v>
      </c>
      <c r="AR379" s="43">
        <v>3</v>
      </c>
      <c r="AS379" s="43">
        <v>2</v>
      </c>
      <c r="AT379" s="43">
        <v>0</v>
      </c>
      <c r="AU379" s="44">
        <v>0</v>
      </c>
      <c r="AV379" s="45" t="e">
        <f>SUM([1]!Table1[[#This Row],[*Learning Model (Daniel)]:[Other2]])</f>
        <v>#VALUE!</v>
      </c>
      <c r="AW379" s="34">
        <v>0</v>
      </c>
      <c r="AX379" s="34">
        <v>4</v>
      </c>
      <c r="AY379" s="34">
        <v>4</v>
      </c>
    </row>
    <row r="380" spans="1:51">
      <c r="A380" s="31" t="s">
        <v>444</v>
      </c>
      <c r="B380" s="32" t="s">
        <v>195</v>
      </c>
      <c r="C380" s="32" t="b">
        <v>0</v>
      </c>
      <c r="D380" t="s">
        <v>443</v>
      </c>
      <c r="E380" s="32" t="s">
        <v>890</v>
      </c>
      <c r="F380" s="32" t="s">
        <v>26</v>
      </c>
      <c r="G380" s="32" t="s">
        <v>913</v>
      </c>
      <c r="H380" s="32" t="s">
        <v>445</v>
      </c>
      <c r="I380" s="33" t="s">
        <v>1468</v>
      </c>
      <c r="J380" s="68" t="s">
        <v>232</v>
      </c>
      <c r="K380" s="33"/>
      <c r="L380" s="34" t="s">
        <v>24</v>
      </c>
      <c r="M380" s="34" t="s">
        <v>48</v>
      </c>
      <c r="N380" s="6" t="s">
        <v>26</v>
      </c>
      <c r="O380" s="6"/>
      <c r="P380" s="36" t="s">
        <v>57</v>
      </c>
      <c r="Q380" s="6"/>
      <c r="R380" s="34"/>
      <c r="S380" s="34"/>
      <c r="T380" s="34" t="s">
        <v>73</v>
      </c>
      <c r="U380" s="37">
        <v>42917</v>
      </c>
      <c r="V380" s="37">
        <v>43009</v>
      </c>
      <c r="W380" s="38" t="e">
        <f>DATEDIF([1]!Table1[[#This Row],[Start Date*]],[1]!Table1[[#This Row],[End Date*]],"d")</f>
        <v>#VALUE!</v>
      </c>
      <c r="X380" s="39" t="e">
        <f>SUM([1]!Table1[[#This Row],[DB]:[EH]])</f>
        <v>#VALUE!</v>
      </c>
      <c r="Y380" s="34"/>
      <c r="Z380" s="34"/>
      <c r="AC380" s="34"/>
      <c r="AE380" s="34"/>
      <c r="AF380" s="40">
        <v>1</v>
      </c>
      <c r="AG380" s="34">
        <v>5</v>
      </c>
      <c r="AH380" s="34"/>
      <c r="AI380" s="34"/>
      <c r="AJ380" s="34"/>
      <c r="AK380" s="34"/>
      <c r="AL380" s="41" t="e">
        <f>SUBTOTAL(9,[1]!Table1[[#This Row],[Online Learning]:[Other]])</f>
        <v>#VALUE!</v>
      </c>
      <c r="AM380" s="42">
        <v>0</v>
      </c>
      <c r="AN380" s="43">
        <v>0</v>
      </c>
      <c r="AO380" s="44">
        <v>0</v>
      </c>
      <c r="AP380" s="44">
        <v>5</v>
      </c>
      <c r="AQ380" s="44">
        <v>0</v>
      </c>
      <c r="AR380" s="44">
        <v>0</v>
      </c>
      <c r="AS380" s="44">
        <v>0</v>
      </c>
      <c r="AT380" s="44">
        <v>0</v>
      </c>
      <c r="AU380" s="44">
        <v>0</v>
      </c>
      <c r="AV380" s="45" t="e">
        <f>SUM([1]!Table1[[#This Row],[*Learning Model (Daniel)]:[Other2]])</f>
        <v>#VALUE!</v>
      </c>
      <c r="AW380" s="34" t="s">
        <v>233</v>
      </c>
      <c r="AX380" s="34" t="s">
        <v>233</v>
      </c>
      <c r="AY380" s="34" t="s">
        <v>233</v>
      </c>
    </row>
    <row r="381" spans="1:51">
      <c r="A381" s="31" t="s">
        <v>1166</v>
      </c>
      <c r="B381" s="32" t="s">
        <v>195</v>
      </c>
      <c r="C381" s="32" t="b">
        <v>0</v>
      </c>
      <c r="D381" s="54" t="s">
        <v>478</v>
      </c>
      <c r="E381" s="32" t="s">
        <v>890</v>
      </c>
      <c r="F381" s="32" t="s">
        <v>1195</v>
      </c>
      <c r="G381" s="32" t="s">
        <v>76</v>
      </c>
      <c r="H381" s="32" t="s">
        <v>1167</v>
      </c>
      <c r="I381" s="33" t="s">
        <v>1468</v>
      </c>
      <c r="J381" s="33" t="s">
        <v>234</v>
      </c>
      <c r="K381" s="33"/>
      <c r="L381" s="34" t="s">
        <v>24</v>
      </c>
      <c r="M381" s="34" t="s">
        <v>25</v>
      </c>
      <c r="N381" s="6" t="s">
        <v>56</v>
      </c>
      <c r="O381" s="6"/>
      <c r="P381" s="47" t="s">
        <v>27</v>
      </c>
      <c r="Q381" s="6" t="s">
        <v>28</v>
      </c>
      <c r="R381" s="34">
        <v>100</v>
      </c>
      <c r="S381" s="34" t="s">
        <v>1476</v>
      </c>
      <c r="T381" s="34"/>
      <c r="U381" s="37">
        <v>42917</v>
      </c>
      <c r="V381" s="37">
        <v>42948</v>
      </c>
      <c r="W381" s="38" t="e">
        <f>DATEDIF([1]!Table1[[#This Row],[Start Date*]],[1]!Table1[[#This Row],[End Date*]],"d")</f>
        <v>#VALUE!</v>
      </c>
      <c r="X381" s="39" t="e">
        <f>SUM([1]!Table1[[#This Row],[DB]:[EH]])</f>
        <v>#VALUE!</v>
      </c>
      <c r="Y381" s="34">
        <v>10</v>
      </c>
      <c r="Z381" s="34"/>
      <c r="AC381" s="34"/>
      <c r="AE381" s="34"/>
      <c r="AF381" s="40"/>
      <c r="AG381" s="34">
        <v>2</v>
      </c>
      <c r="AH381" s="34">
        <v>0</v>
      </c>
      <c r="AI381" s="34">
        <v>0</v>
      </c>
      <c r="AJ381" s="34">
        <v>0</v>
      </c>
      <c r="AK381" s="34">
        <v>0</v>
      </c>
      <c r="AL381" s="52" t="e">
        <f>SUBTOTAL(9,[1]!Table1[[#This Row],[Online Learning]:[Other]])</f>
        <v>#VALUE!</v>
      </c>
      <c r="AM381" s="42">
        <v>0</v>
      </c>
      <c r="AN381" s="43">
        <v>0</v>
      </c>
      <c r="AO381" s="44">
        <v>1</v>
      </c>
      <c r="AP381" s="44">
        <v>3</v>
      </c>
      <c r="AQ381" s="44">
        <v>0</v>
      </c>
      <c r="AR381" s="44">
        <v>0</v>
      </c>
      <c r="AS381" s="44">
        <v>0</v>
      </c>
      <c r="AT381" s="44">
        <v>1</v>
      </c>
      <c r="AU381" s="44">
        <v>0</v>
      </c>
      <c r="AV381" s="45" t="e">
        <f>SUM([1]!Table1[[#This Row],[*Learning Model (Daniel)]:[Other2]])</f>
        <v>#VALUE!</v>
      </c>
      <c r="AW381" s="34">
        <v>0</v>
      </c>
      <c r="AX381" s="34">
        <v>0</v>
      </c>
      <c r="AY381" s="34">
        <v>1</v>
      </c>
    </row>
    <row r="382" spans="1:51">
      <c r="A382" s="31" t="s">
        <v>241</v>
      </c>
      <c r="B382" s="32" t="s">
        <v>195</v>
      </c>
      <c r="C382" s="32" t="b">
        <v>0</v>
      </c>
      <c r="D382" t="s">
        <v>446</v>
      </c>
      <c r="E382" s="32" t="s">
        <v>890</v>
      </c>
      <c r="F382" s="32" t="s">
        <v>26</v>
      </c>
      <c r="G382" s="32" t="s">
        <v>913</v>
      </c>
      <c r="H382" s="32" t="s">
        <v>447</v>
      </c>
      <c r="I382" s="33" t="s">
        <v>1468</v>
      </c>
      <c r="J382" s="67" t="s">
        <v>242</v>
      </c>
      <c r="K382" s="33"/>
      <c r="L382" s="34" t="s">
        <v>24</v>
      </c>
      <c r="M382" s="35" t="s">
        <v>48</v>
      </c>
      <c r="N382" s="6" t="s">
        <v>26</v>
      </c>
      <c r="O382" s="6"/>
      <c r="P382" s="47" t="s">
        <v>49</v>
      </c>
      <c r="Q382" s="6"/>
      <c r="R382" s="34">
        <v>0</v>
      </c>
      <c r="S382" s="34"/>
      <c r="T382" s="34" t="s">
        <v>73</v>
      </c>
      <c r="U382" s="37">
        <v>43101</v>
      </c>
      <c r="V382" s="37">
        <v>43132</v>
      </c>
      <c r="W382" s="38" t="e">
        <f>DATEDIF([1]!Table1[[#This Row],[Start Date*]],[1]!Table1[[#This Row],[End Date*]],"d")</f>
        <v>#VALUE!</v>
      </c>
      <c r="X382" s="39" t="e">
        <f>SUM([1]!Table1[[#This Row],[DB]:[EH]])</f>
        <v>#VALUE!</v>
      </c>
      <c r="Y382" s="34"/>
      <c r="Z382" s="34">
        <v>100</v>
      </c>
      <c r="AC382" s="34"/>
      <c r="AE382" s="34"/>
      <c r="AF382" s="40">
        <v>2</v>
      </c>
      <c r="AG382" s="34">
        <v>5</v>
      </c>
      <c r="AH382" s="34">
        <v>2</v>
      </c>
      <c r="AI382" s="34">
        <v>0</v>
      </c>
      <c r="AJ382" s="34">
        <v>1</v>
      </c>
      <c r="AK382" s="34">
        <v>0</v>
      </c>
      <c r="AL382" s="52" t="e">
        <f>SUBTOTAL(9,[1]!Table1[[#This Row],[Online Learning]:[Other]])</f>
        <v>#VALUE!</v>
      </c>
      <c r="AM382" s="49">
        <v>0</v>
      </c>
      <c r="AN382" s="43">
        <v>0</v>
      </c>
      <c r="AO382" s="44">
        <v>0</v>
      </c>
      <c r="AP382" s="43">
        <v>4</v>
      </c>
      <c r="AQ382" s="43">
        <v>2</v>
      </c>
      <c r="AR382" s="44">
        <v>0</v>
      </c>
      <c r="AS382" s="43">
        <v>4</v>
      </c>
      <c r="AT382" s="44">
        <v>0</v>
      </c>
      <c r="AU382" s="44">
        <v>0</v>
      </c>
      <c r="AV382" s="45" t="e">
        <f>SUM([1]!Table1[[#This Row],[*Learning Model (Daniel)]:[Other2]])</f>
        <v>#VALUE!</v>
      </c>
      <c r="AW382" s="34">
        <v>4</v>
      </c>
      <c r="AX382" s="34">
        <v>1</v>
      </c>
      <c r="AY382" s="34">
        <v>1</v>
      </c>
    </row>
    <row r="383" spans="1:51">
      <c r="A383" s="31" t="s">
        <v>1182</v>
      </c>
      <c r="B383" s="32" t="s">
        <v>195</v>
      </c>
      <c r="C383" s="32" t="b">
        <v>0</v>
      </c>
      <c r="D383" t="s">
        <v>465</v>
      </c>
      <c r="E383" s="32" t="s">
        <v>890</v>
      </c>
      <c r="F383" s="32" t="s">
        <v>893</v>
      </c>
      <c r="G383" s="32" t="s">
        <v>924</v>
      </c>
      <c r="H383" s="32" t="s">
        <v>1183</v>
      </c>
      <c r="I383" s="33" t="s">
        <v>1468</v>
      </c>
      <c r="J383" s="33" t="s">
        <v>220</v>
      </c>
      <c r="K383" s="33"/>
      <c r="L383" s="34" t="s">
        <v>24</v>
      </c>
      <c r="M383" s="34" t="s">
        <v>37</v>
      </c>
      <c r="N383" s="6" t="s">
        <v>26</v>
      </c>
      <c r="O383" s="6"/>
      <c r="P383" s="36" t="s">
        <v>57</v>
      </c>
      <c r="Q383" s="6"/>
      <c r="R383" s="34"/>
      <c r="S383" s="34"/>
      <c r="T383" s="34" t="s">
        <v>46</v>
      </c>
      <c r="U383" s="37">
        <v>42917</v>
      </c>
      <c r="V383" s="37">
        <v>43101</v>
      </c>
      <c r="W383" s="38" t="e">
        <f>DATEDIF([1]!Table1[[#This Row],[Start Date*]],[1]!Table1[[#This Row],[End Date*]],"d")</f>
        <v>#VALUE!</v>
      </c>
      <c r="X383" s="39" t="e">
        <f>SUM([1]!Table1[[#This Row],[DB]:[EH]])</f>
        <v>#VALUE!</v>
      </c>
      <c r="Y383" s="34"/>
      <c r="Z383" s="34"/>
      <c r="AC383" s="34"/>
      <c r="AE383" s="34"/>
      <c r="AF383" s="40">
        <v>1</v>
      </c>
      <c r="AG383" s="34">
        <v>4</v>
      </c>
      <c r="AH383" s="34">
        <v>4</v>
      </c>
      <c r="AI383" s="34">
        <v>2</v>
      </c>
      <c r="AJ383" s="34">
        <v>1</v>
      </c>
      <c r="AK383" s="34">
        <v>0</v>
      </c>
      <c r="AL383" s="41" t="e">
        <f>SUBTOTAL(9,[1]!Table1[[#This Row],[Online Learning]:[Other]])</f>
        <v>#VALUE!</v>
      </c>
      <c r="AM383" s="42">
        <v>5</v>
      </c>
      <c r="AN383" s="43">
        <v>0</v>
      </c>
      <c r="AO383" s="44">
        <v>0</v>
      </c>
      <c r="AP383" s="44">
        <v>4</v>
      </c>
      <c r="AQ383" s="44">
        <v>4</v>
      </c>
      <c r="AR383" s="44">
        <v>0</v>
      </c>
      <c r="AS383" s="44">
        <v>2</v>
      </c>
      <c r="AT383" s="44">
        <v>0</v>
      </c>
      <c r="AU383" s="44">
        <v>0</v>
      </c>
      <c r="AV383" s="45" t="e">
        <f>SUM([1]!Table1[[#This Row],[*Learning Model (Daniel)]:[Other2]])</f>
        <v>#VALUE!</v>
      </c>
      <c r="AW383" s="34">
        <v>1</v>
      </c>
      <c r="AX383" s="34">
        <v>0</v>
      </c>
      <c r="AY383" s="34">
        <v>4</v>
      </c>
    </row>
    <row r="384" spans="1:51" ht="15.75">
      <c r="A384" s="31" t="s">
        <v>1477</v>
      </c>
      <c r="B384" s="32" t="s">
        <v>195</v>
      </c>
      <c r="C384" s="32"/>
      <c r="D384" s="1"/>
      <c r="E384" s="32"/>
      <c r="F384" s="32"/>
      <c r="G384" s="32"/>
      <c r="H384" s="32"/>
      <c r="I384" s="33"/>
      <c r="J384" s="63" t="s">
        <v>235</v>
      </c>
      <c r="K384" s="33"/>
      <c r="L384" s="34" t="s">
        <v>36</v>
      </c>
      <c r="M384" s="34" t="s">
        <v>25</v>
      </c>
      <c r="N384" s="6" t="s">
        <v>0</v>
      </c>
      <c r="O384" s="6"/>
      <c r="P384" s="36" t="s">
        <v>39</v>
      </c>
      <c r="Q384" s="6" t="s">
        <v>28</v>
      </c>
      <c r="R384" s="34">
        <v>50</v>
      </c>
      <c r="S384" s="34"/>
      <c r="T384" s="34" t="s">
        <v>1</v>
      </c>
      <c r="U384" s="37">
        <v>42917</v>
      </c>
      <c r="V384" s="37">
        <v>42948</v>
      </c>
      <c r="W384" s="38" t="e">
        <f>DATEDIF([1]!Table1[[#This Row],[Start Date*]],[1]!Table1[[#This Row],[End Date*]],"d")</f>
        <v>#VALUE!</v>
      </c>
      <c r="X384" s="39" t="e">
        <f>SUM([1]!Table1[[#This Row],[DB]:[EH]])</f>
        <v>#VALUE!</v>
      </c>
      <c r="Y384" s="34"/>
      <c r="Z384" s="34"/>
      <c r="AC384" s="34"/>
      <c r="AE384" s="34"/>
      <c r="AF384" s="40"/>
      <c r="AG384" s="34">
        <v>0</v>
      </c>
      <c r="AH384" s="34">
        <v>0</v>
      </c>
      <c r="AI384" s="34">
        <v>2</v>
      </c>
      <c r="AJ384" s="34">
        <v>0</v>
      </c>
      <c r="AK384" s="34">
        <v>0</v>
      </c>
      <c r="AL384" s="41" t="e">
        <f>SUBTOTAL(9,[1]!Table1[[#This Row],[Online Learning]:[Other]])</f>
        <v>#VALUE!</v>
      </c>
      <c r="AM384" s="42">
        <v>0</v>
      </c>
      <c r="AN384" s="43">
        <v>0</v>
      </c>
      <c r="AO384" s="44">
        <v>0</v>
      </c>
      <c r="AP384" s="44">
        <v>0</v>
      </c>
      <c r="AQ384" s="44">
        <v>0</v>
      </c>
      <c r="AR384" s="44">
        <v>0</v>
      </c>
      <c r="AS384" s="44">
        <v>0</v>
      </c>
      <c r="AT384" s="44">
        <v>3</v>
      </c>
      <c r="AU384" s="44">
        <v>0</v>
      </c>
      <c r="AV384" s="45" t="e">
        <f>SUM([1]!Table1[[#This Row],[*Learning Model (Daniel)]:[Other2]])</f>
        <v>#VALUE!</v>
      </c>
      <c r="AW384" s="34">
        <v>0</v>
      </c>
      <c r="AX384" s="34">
        <v>0</v>
      </c>
      <c r="AY384" s="34">
        <v>0</v>
      </c>
    </row>
    <row r="385" spans="1:51">
      <c r="A385" s="31" t="s">
        <v>1211</v>
      </c>
      <c r="B385" s="32" t="s">
        <v>195</v>
      </c>
      <c r="C385" s="32" t="b">
        <v>1</v>
      </c>
      <c r="D385" t="s">
        <v>1210</v>
      </c>
      <c r="E385" s="32" t="s">
        <v>890</v>
      </c>
      <c r="F385" s="32" t="s">
        <v>26</v>
      </c>
      <c r="G385" s="32" t="s">
        <v>913</v>
      </c>
      <c r="H385" s="32" t="s">
        <v>261</v>
      </c>
      <c r="I385" s="33" t="s">
        <v>1468</v>
      </c>
      <c r="J385" s="33" t="s">
        <v>261</v>
      </c>
      <c r="K385" s="33"/>
      <c r="L385" s="34" t="s">
        <v>24</v>
      </c>
      <c r="M385" s="34" t="s">
        <v>48</v>
      </c>
      <c r="N385" s="6" t="s">
        <v>66</v>
      </c>
      <c r="O385" s="6"/>
      <c r="P385" s="47" t="s">
        <v>39</v>
      </c>
      <c r="Q385" s="6"/>
      <c r="R385" s="34">
        <v>0</v>
      </c>
      <c r="S385" s="34"/>
      <c r="T385" s="34"/>
      <c r="U385" s="37">
        <v>43101</v>
      </c>
      <c r="V385" s="37">
        <v>43132</v>
      </c>
      <c r="W385" s="38" t="e">
        <f>DATEDIF([1]!Table1[[#This Row],[Start Date*]],[1]!Table1[[#This Row],[End Date*]],"d")</f>
        <v>#VALUE!</v>
      </c>
      <c r="X385" s="39" t="e">
        <f>SUM([1]!Table1[[#This Row],[DB]:[EH]])</f>
        <v>#VALUE!</v>
      </c>
      <c r="Y385" s="34"/>
      <c r="Z385" s="34"/>
      <c r="AC385" s="34"/>
      <c r="AE385" s="34"/>
      <c r="AF385" s="40">
        <v>1</v>
      </c>
      <c r="AG385" s="34">
        <v>0</v>
      </c>
      <c r="AH385" s="34">
        <v>0</v>
      </c>
      <c r="AI385" s="34">
        <v>5</v>
      </c>
      <c r="AJ385" s="34">
        <v>1</v>
      </c>
      <c r="AK385" s="34">
        <v>0</v>
      </c>
      <c r="AL385" s="52" t="e">
        <f>SUBTOTAL(9,[1]!Table1[[#This Row],[Online Learning]:[Other]])</f>
        <v>#VALUE!</v>
      </c>
      <c r="AM385" s="49"/>
      <c r="AN385" s="43"/>
      <c r="AO385" s="43"/>
      <c r="AP385" s="43"/>
      <c r="AQ385" s="43"/>
      <c r="AR385" s="43"/>
      <c r="AS385" s="43"/>
      <c r="AT385" s="43"/>
      <c r="AU385" s="44">
        <v>0</v>
      </c>
      <c r="AV385" s="45" t="e">
        <f>SUM([1]!Table1[[#This Row],[*Learning Model (Daniel)]:[Other2]])</f>
        <v>#VALUE!</v>
      </c>
      <c r="AW385" s="34">
        <v>0</v>
      </c>
      <c r="AX385" s="34">
        <v>2</v>
      </c>
      <c r="AY385" s="34">
        <v>1</v>
      </c>
    </row>
    <row r="386" spans="1:51" ht="15.75">
      <c r="A386" s="31" t="s">
        <v>1478</v>
      </c>
      <c r="B386" s="40"/>
      <c r="C386" s="40"/>
      <c r="D386" s="1"/>
      <c r="E386" s="40"/>
      <c r="F386" s="40"/>
      <c r="G386" s="40"/>
      <c r="H386" s="40"/>
      <c r="I386" s="34"/>
      <c r="J386" s="60" t="s">
        <v>207</v>
      </c>
      <c r="K386" s="33"/>
      <c r="L386" s="34" t="s">
        <v>36</v>
      </c>
      <c r="M386" s="34" t="s">
        <v>55</v>
      </c>
      <c r="N386" s="6" t="s">
        <v>0</v>
      </c>
      <c r="O386" s="6"/>
      <c r="P386" s="47"/>
      <c r="Q386" s="6"/>
      <c r="R386" s="34">
        <v>0</v>
      </c>
      <c r="S386" s="34"/>
      <c r="T386" s="34" t="s">
        <v>73</v>
      </c>
      <c r="U386" s="37">
        <v>43101</v>
      </c>
      <c r="V386" s="37">
        <v>43132</v>
      </c>
      <c r="W386" s="38" t="e">
        <f>DATEDIF([1]!Table1[[#This Row],[Start Date*]],[1]!Table1[[#This Row],[End Date*]],"d")</f>
        <v>#VALUE!</v>
      </c>
      <c r="X386" s="39" t="e">
        <f>SUM([1]!Table1[[#This Row],[DB]:[EH]])</f>
        <v>#VALUE!</v>
      </c>
      <c r="Y386" s="34"/>
      <c r="Z386" s="34"/>
      <c r="AC386" s="34"/>
      <c r="AE386" s="34"/>
      <c r="AF386" s="47"/>
      <c r="AG386" s="34">
        <v>4</v>
      </c>
      <c r="AH386" s="34">
        <v>0</v>
      </c>
      <c r="AI386" s="34">
        <v>0</v>
      </c>
      <c r="AJ386" s="34">
        <v>0</v>
      </c>
      <c r="AK386" s="34">
        <v>0</v>
      </c>
      <c r="AL386" s="41" t="e">
        <f>SUBTOTAL(9,[1]!Table1[[#This Row],[Online Learning]:[Other]])</f>
        <v>#VALUE!</v>
      </c>
      <c r="AM386" s="41"/>
      <c r="AN386" s="51"/>
      <c r="AO386" s="51"/>
      <c r="AP386" s="51"/>
      <c r="AQ386" s="51"/>
      <c r="AR386" s="51"/>
      <c r="AS386" s="51"/>
      <c r="AT386" s="51"/>
      <c r="AU386" s="51"/>
      <c r="AV386" s="45" t="e">
        <f>SUM([1]!Table1[[#This Row],[*Learning Model (Daniel)]:[Other2]])</f>
        <v>#VALUE!</v>
      </c>
      <c r="AW386" s="34"/>
      <c r="AX386" s="34"/>
      <c r="AY386" s="34"/>
    </row>
    <row r="387" spans="1:51" ht="15.75">
      <c r="A387" s="31" t="s">
        <v>525</v>
      </c>
      <c r="B387" s="32" t="s">
        <v>195</v>
      </c>
      <c r="C387" s="32" t="b">
        <v>0</v>
      </c>
      <c r="D387" s="1" t="s">
        <v>524</v>
      </c>
      <c r="E387" s="32" t="s">
        <v>890</v>
      </c>
      <c r="F387" s="32" t="s">
        <v>896</v>
      </c>
      <c r="G387" s="32" t="s">
        <v>915</v>
      </c>
      <c r="H387" s="32" t="s">
        <v>526</v>
      </c>
      <c r="I387" s="33" t="s">
        <v>1468</v>
      </c>
      <c r="J387" s="33" t="s">
        <v>248</v>
      </c>
      <c r="K387" s="33"/>
      <c r="L387" s="34" t="s">
        <v>24</v>
      </c>
      <c r="M387" s="34" t="s">
        <v>37</v>
      </c>
      <c r="N387" s="6" t="s">
        <v>56</v>
      </c>
      <c r="O387" s="6"/>
      <c r="P387" s="47"/>
      <c r="Q387" s="6"/>
      <c r="R387" s="34">
        <v>100</v>
      </c>
      <c r="S387" s="34"/>
      <c r="T387" s="34" t="s">
        <v>88</v>
      </c>
      <c r="U387" s="37">
        <v>42644</v>
      </c>
      <c r="V387" s="37">
        <v>42705</v>
      </c>
      <c r="W387" s="38" t="e">
        <f>DATEDIF([1]!Table1[[#This Row],[Start Date*]],[1]!Table1[[#This Row],[End Date*]],"d")</f>
        <v>#VALUE!</v>
      </c>
      <c r="X387" s="39" t="e">
        <f>SUM([1]!Table1[[#This Row],[DB]:[EH]])</f>
        <v>#VALUE!</v>
      </c>
      <c r="Y387" s="34"/>
      <c r="Z387" s="34">
        <v>30</v>
      </c>
      <c r="AC387" s="34"/>
      <c r="AE387" s="34"/>
      <c r="AF387" s="47"/>
      <c r="AG387" s="34"/>
      <c r="AH387" s="34"/>
      <c r="AI387" s="34"/>
      <c r="AJ387" s="34"/>
      <c r="AK387" s="34"/>
      <c r="AL387" s="52"/>
      <c r="AM387" s="49"/>
      <c r="AN387" s="43"/>
      <c r="AO387" s="43"/>
      <c r="AP387" s="43"/>
      <c r="AQ387" s="43"/>
      <c r="AR387" s="43"/>
      <c r="AS387" s="43"/>
      <c r="AT387" s="43"/>
      <c r="AU387" s="44">
        <v>0</v>
      </c>
      <c r="AV387" s="45" t="e">
        <f>SUM([1]!Table1[[#This Row],[*Learning Model (Daniel)]:[Other2]])</f>
        <v>#VALUE!</v>
      </c>
      <c r="AW387" s="34"/>
      <c r="AX387" s="34"/>
      <c r="AY387" s="34"/>
    </row>
    <row r="388" spans="1:51">
      <c r="A388" s="31" t="s">
        <v>467</v>
      </c>
      <c r="B388" s="32" t="s">
        <v>195</v>
      </c>
      <c r="C388" s="32" t="b">
        <v>0</v>
      </c>
      <c r="D388" t="s">
        <v>466</v>
      </c>
      <c r="E388" s="32" t="s">
        <v>890</v>
      </c>
      <c r="F388" s="32" t="s">
        <v>38</v>
      </c>
      <c r="G388" s="32" t="s">
        <v>906</v>
      </c>
      <c r="H388" s="32" t="s">
        <v>468</v>
      </c>
      <c r="I388" s="33" t="s">
        <v>1468</v>
      </c>
      <c r="J388" s="67" t="s">
        <v>203</v>
      </c>
      <c r="K388" s="33"/>
      <c r="L388" s="34" t="s">
        <v>24</v>
      </c>
      <c r="M388" s="34" t="s">
        <v>37</v>
      </c>
      <c r="N388" s="6" t="s">
        <v>38</v>
      </c>
      <c r="O388" s="6"/>
      <c r="P388" s="47" t="s">
        <v>49</v>
      </c>
      <c r="Q388" s="6" t="s">
        <v>50</v>
      </c>
      <c r="R388" s="34">
        <v>50</v>
      </c>
      <c r="S388" s="34"/>
      <c r="T388" s="34" t="s">
        <v>1</v>
      </c>
      <c r="U388" s="37">
        <v>43101</v>
      </c>
      <c r="V388" s="37">
        <v>43132</v>
      </c>
      <c r="W388" s="38" t="e">
        <f>DATEDIF([1]!Table1[[#This Row],[Start Date*]],[1]!Table1[[#This Row],[End Date*]],"d")</f>
        <v>#VALUE!</v>
      </c>
      <c r="X388" s="39" t="e">
        <f>SUM([1]!Table1[[#This Row],[DB]:[EH]])</f>
        <v>#VALUE!</v>
      </c>
      <c r="Y388" s="34"/>
      <c r="Z388" s="34"/>
      <c r="AC388" s="34"/>
      <c r="AE388" s="34"/>
      <c r="AF388" s="47"/>
      <c r="AG388" s="34">
        <v>3</v>
      </c>
      <c r="AH388" s="34">
        <v>4</v>
      </c>
      <c r="AI388" s="34">
        <v>3</v>
      </c>
      <c r="AJ388" s="34">
        <v>2</v>
      </c>
      <c r="AK388" s="34">
        <v>0</v>
      </c>
      <c r="AL388" s="41" t="e">
        <f>SUBTOTAL(9,[1]!Table1[[#This Row],[Online Learning]:[Other]])</f>
        <v>#VALUE!</v>
      </c>
      <c r="AM388" s="41"/>
      <c r="AN388" s="51"/>
      <c r="AO388" s="51"/>
      <c r="AP388" s="51"/>
      <c r="AQ388" s="51"/>
      <c r="AR388" s="51"/>
      <c r="AS388" s="51"/>
      <c r="AT388" s="51"/>
      <c r="AU388" s="51"/>
      <c r="AV388" s="45" t="e">
        <f>SUM([1]!Table1[[#This Row],[*Learning Model (Daniel)]:[Other2]])</f>
        <v>#VALUE!</v>
      </c>
      <c r="AW388" s="34"/>
      <c r="AX388" s="34"/>
      <c r="AY388" s="34"/>
    </row>
    <row r="389" spans="1:51">
      <c r="A389" s="31" t="s">
        <v>268</v>
      </c>
      <c r="B389" s="32" t="s">
        <v>195</v>
      </c>
      <c r="C389" s="32" t="b">
        <v>0</v>
      </c>
      <c r="D389" t="s">
        <v>539</v>
      </c>
      <c r="E389" s="32" t="s">
        <v>890</v>
      </c>
      <c r="F389" s="32" t="s">
        <v>896</v>
      </c>
      <c r="G389" s="32"/>
      <c r="H389" s="32" t="s">
        <v>540</v>
      </c>
      <c r="I389" s="33" t="s">
        <v>1468</v>
      </c>
      <c r="J389" s="33" t="s">
        <v>269</v>
      </c>
      <c r="K389" s="33"/>
      <c r="L389" s="34" t="s">
        <v>24</v>
      </c>
      <c r="M389" s="35" t="s">
        <v>37</v>
      </c>
      <c r="N389" s="6" t="s">
        <v>56</v>
      </c>
      <c r="O389" s="6"/>
      <c r="P389" s="36" t="s">
        <v>39</v>
      </c>
      <c r="Q389" s="6"/>
      <c r="R389" s="34">
        <v>100</v>
      </c>
      <c r="S389" s="34"/>
      <c r="T389" s="34" t="s">
        <v>1</v>
      </c>
      <c r="U389" s="37">
        <v>42644</v>
      </c>
      <c r="V389" s="37">
        <v>42705</v>
      </c>
      <c r="W389" s="38" t="e">
        <f>DATEDIF([1]!Table1[[#This Row],[Start Date*]],[1]!Table1[[#This Row],[End Date*]],"d")</f>
        <v>#VALUE!</v>
      </c>
      <c r="X389" s="39" t="e">
        <f>SUM([1]!Table1[[#This Row],[DB]:[EH]])</f>
        <v>#VALUE!</v>
      </c>
      <c r="Y389" s="34"/>
      <c r="Z389" s="34"/>
      <c r="AC389" s="34"/>
      <c r="AE389" s="34"/>
      <c r="AF389" s="40"/>
      <c r="AG389" s="34">
        <v>0</v>
      </c>
      <c r="AH389" s="34">
        <v>2</v>
      </c>
      <c r="AI389" s="34">
        <v>2</v>
      </c>
      <c r="AJ389" s="34">
        <v>0</v>
      </c>
      <c r="AK389" s="34">
        <v>0</v>
      </c>
      <c r="AL389" s="41" t="e">
        <f>SUBTOTAL(9,[1]!Table1[[#This Row],[Online Learning]:[Other]])</f>
        <v>#VALUE!</v>
      </c>
      <c r="AM389" s="42">
        <v>0</v>
      </c>
      <c r="AN389" s="43">
        <v>1</v>
      </c>
      <c r="AO389" s="44">
        <v>3</v>
      </c>
      <c r="AP389" s="44">
        <v>0</v>
      </c>
      <c r="AQ389" s="44">
        <v>0</v>
      </c>
      <c r="AR389" s="44">
        <v>0</v>
      </c>
      <c r="AS389" s="44">
        <v>0</v>
      </c>
      <c r="AT389" s="44">
        <v>2</v>
      </c>
      <c r="AU389" s="44">
        <v>0</v>
      </c>
      <c r="AV389" s="45" t="e">
        <f>SUM([1]!Table1[[#This Row],[*Learning Model (Daniel)]:[Other2]])</f>
        <v>#VALUE!</v>
      </c>
      <c r="AW389" s="34">
        <v>0</v>
      </c>
      <c r="AX389" s="34">
        <v>0</v>
      </c>
      <c r="AY389" s="34">
        <v>2</v>
      </c>
    </row>
    <row r="390" spans="1:51">
      <c r="A390" s="31" t="s">
        <v>249</v>
      </c>
      <c r="B390" s="32" t="s">
        <v>195</v>
      </c>
      <c r="C390" s="32" t="b">
        <v>0</v>
      </c>
      <c r="D390" t="s">
        <v>471</v>
      </c>
      <c r="E390" s="32" t="s">
        <v>890</v>
      </c>
      <c r="F390" s="32" t="s">
        <v>0</v>
      </c>
      <c r="G390" s="32" t="s">
        <v>918</v>
      </c>
      <c r="H390" s="32" t="s">
        <v>472</v>
      </c>
      <c r="I390" s="33" t="s">
        <v>1468</v>
      </c>
      <c r="J390" s="67" t="s">
        <v>250</v>
      </c>
      <c r="K390" s="33"/>
      <c r="L390" s="34" t="s">
        <v>24</v>
      </c>
      <c r="M390" s="34" t="s">
        <v>25</v>
      </c>
      <c r="N390" s="6" t="s">
        <v>0</v>
      </c>
      <c r="O390" s="6"/>
      <c r="P390" s="47" t="s">
        <v>49</v>
      </c>
      <c r="Q390" s="6" t="s">
        <v>28</v>
      </c>
      <c r="R390" s="34">
        <v>95</v>
      </c>
      <c r="S390" s="34"/>
      <c r="T390" s="34"/>
      <c r="U390" s="37">
        <v>42705</v>
      </c>
      <c r="V390" s="37">
        <v>42948</v>
      </c>
      <c r="W390" s="38" t="e">
        <f>DATEDIF([1]!Table1[[#This Row],[Start Date*]],[1]!Table1[[#This Row],[End Date*]],"d")</f>
        <v>#VALUE!</v>
      </c>
      <c r="X390" s="39" t="e">
        <f>SUM([1]!Table1[[#This Row],[DB]:[EH]])</f>
        <v>#VALUE!</v>
      </c>
      <c r="Y390" s="34">
        <v>30</v>
      </c>
      <c r="Z390" s="34"/>
      <c r="AC390" s="34"/>
      <c r="AE390" s="34"/>
      <c r="AF390" s="47"/>
      <c r="AG390" s="34">
        <v>1</v>
      </c>
      <c r="AH390" s="34">
        <v>3</v>
      </c>
      <c r="AI390" s="34">
        <v>2</v>
      </c>
      <c r="AJ390" s="34">
        <v>0</v>
      </c>
      <c r="AK390" s="34">
        <v>0</v>
      </c>
      <c r="AL390" s="41" t="e">
        <f>SUBTOTAL(9,[1]!Table1[[#This Row],[Online Learning]:[Other]])</f>
        <v>#VALUE!</v>
      </c>
      <c r="AM390" s="42"/>
      <c r="AN390" s="44"/>
      <c r="AO390" s="44"/>
      <c r="AP390" s="44"/>
      <c r="AQ390" s="44"/>
      <c r="AR390" s="44"/>
      <c r="AS390" s="44"/>
      <c r="AT390" s="44"/>
      <c r="AU390" s="44"/>
      <c r="AV390" s="45" t="e">
        <f>SUM([1]!Table1[[#This Row],[*Learning Model (Daniel)]:[Other2]])</f>
        <v>#VALUE!</v>
      </c>
      <c r="AW390" s="34">
        <v>0</v>
      </c>
      <c r="AX390" s="34">
        <v>0</v>
      </c>
      <c r="AY390" s="34">
        <v>2</v>
      </c>
    </row>
    <row r="391" spans="1:51">
      <c r="A391" s="31" t="s">
        <v>1190</v>
      </c>
      <c r="B391" s="12" t="s">
        <v>195</v>
      </c>
      <c r="C391" s="12" t="b">
        <v>0</v>
      </c>
      <c r="D391" t="s">
        <v>462</v>
      </c>
      <c r="E391" s="12" t="s">
        <v>890</v>
      </c>
      <c r="F391" s="12" t="s">
        <v>0</v>
      </c>
      <c r="G391" s="12" t="s">
        <v>81</v>
      </c>
      <c r="H391" s="12" t="s">
        <v>1191</v>
      </c>
      <c r="I391" s="33" t="s">
        <v>1468</v>
      </c>
      <c r="J391" s="33" t="s">
        <v>202</v>
      </c>
      <c r="K391" s="33"/>
      <c r="L391" s="34" t="s">
        <v>24</v>
      </c>
      <c r="M391" s="34" t="s">
        <v>37</v>
      </c>
      <c r="N391" s="6" t="s">
        <v>26</v>
      </c>
      <c r="O391" s="6"/>
      <c r="P391" s="6" t="s">
        <v>49</v>
      </c>
      <c r="Q391" s="6"/>
      <c r="R391" s="34"/>
      <c r="S391" s="34"/>
      <c r="T391" s="34" t="s">
        <v>92</v>
      </c>
      <c r="U391" s="37">
        <v>42948</v>
      </c>
      <c r="V391" s="37">
        <v>43160</v>
      </c>
      <c r="W391" s="38" t="e">
        <f>DATEDIF([1]!Table1[[#This Row],[Start Date*]],[1]!Table1[[#This Row],[End Date*]],"d")</f>
        <v>#VALUE!</v>
      </c>
      <c r="X391" s="39" t="e">
        <f>SUM([1]!Table1[[#This Row],[DB]:[EH]])</f>
        <v>#VALUE!</v>
      </c>
      <c r="Y391" s="34"/>
      <c r="Z391" s="34"/>
      <c r="AC391" s="34"/>
      <c r="AE391" s="34"/>
      <c r="AF391" s="34">
        <v>1</v>
      </c>
      <c r="AG391" s="38">
        <v>1</v>
      </c>
      <c r="AH391" s="48">
        <v>2</v>
      </c>
      <c r="AI391" s="34">
        <v>5</v>
      </c>
      <c r="AJ391" s="34">
        <v>0</v>
      </c>
      <c r="AK391" s="34">
        <v>0</v>
      </c>
      <c r="AL391" s="64" t="e">
        <f>SUBTOTAL(9,[1]!Table1[[#This Row],[Online Learning]:[Other]])</f>
        <v>#VALUE!</v>
      </c>
      <c r="AM391" s="49">
        <v>0</v>
      </c>
      <c r="AN391" s="48">
        <v>3</v>
      </c>
      <c r="AO391" s="48">
        <v>3</v>
      </c>
      <c r="AP391" s="48">
        <v>2</v>
      </c>
      <c r="AQ391" s="48">
        <v>4</v>
      </c>
      <c r="AR391" s="48">
        <v>0</v>
      </c>
      <c r="AS391" s="48">
        <v>1</v>
      </c>
      <c r="AT391" s="48">
        <v>0</v>
      </c>
      <c r="AU391" s="44">
        <v>0</v>
      </c>
      <c r="AV391" s="50" t="e">
        <f>SUM([1]!Table1[[#This Row],[*Learning Model (Daniel)]:[Other2]])</f>
        <v>#VALUE!</v>
      </c>
      <c r="AW391" s="34"/>
      <c r="AX391" s="34"/>
      <c r="AY391" s="34">
        <v>5</v>
      </c>
    </row>
    <row r="392" spans="1:51">
      <c r="A392" s="31" t="s">
        <v>218</v>
      </c>
      <c r="B392" s="32" t="s">
        <v>195</v>
      </c>
      <c r="C392" s="32" t="b">
        <v>0</v>
      </c>
      <c r="D392" s="54" t="s">
        <v>460</v>
      </c>
      <c r="E392" s="32" t="s">
        <v>890</v>
      </c>
      <c r="F392" s="32" t="s">
        <v>0</v>
      </c>
      <c r="G392" s="32" t="s">
        <v>81</v>
      </c>
      <c r="H392" s="32" t="s">
        <v>461</v>
      </c>
      <c r="I392" s="33" t="s">
        <v>1468</v>
      </c>
      <c r="J392" s="67" t="s">
        <v>219</v>
      </c>
      <c r="K392" s="33"/>
      <c r="L392" s="34" t="s">
        <v>24</v>
      </c>
      <c r="M392" s="34" t="s">
        <v>37</v>
      </c>
      <c r="N392" s="6" t="s">
        <v>0</v>
      </c>
      <c r="O392" s="6"/>
      <c r="P392" s="36" t="s">
        <v>57</v>
      </c>
      <c r="Q392" s="6"/>
      <c r="R392" s="34">
        <v>1</v>
      </c>
      <c r="S392" s="34"/>
      <c r="T392" s="34" t="s">
        <v>90</v>
      </c>
      <c r="U392" s="37">
        <v>42948</v>
      </c>
      <c r="V392" s="37">
        <v>43160</v>
      </c>
      <c r="W392" s="38" t="e">
        <f>DATEDIF([1]!Table1[[#This Row],[Start Date*]],[1]!Table1[[#This Row],[End Date*]],"d")</f>
        <v>#VALUE!</v>
      </c>
      <c r="X392" s="39" t="e">
        <f>SUM([1]!Table1[[#This Row],[DB]:[EH]])</f>
        <v>#VALUE!</v>
      </c>
      <c r="Y392" s="34"/>
      <c r="Z392" s="34"/>
      <c r="AC392" s="34"/>
      <c r="AE392" s="34"/>
      <c r="AF392" s="40"/>
      <c r="AG392" s="34">
        <v>1</v>
      </c>
      <c r="AH392" s="34">
        <v>1</v>
      </c>
      <c r="AI392" s="34">
        <v>5</v>
      </c>
      <c r="AJ392" s="34">
        <v>0</v>
      </c>
      <c r="AK392" s="34">
        <v>0</v>
      </c>
      <c r="AL392" s="41" t="e">
        <f>SUBTOTAL(9,[1]!Table1[[#This Row],[Online Learning]:[Other]])</f>
        <v>#VALUE!</v>
      </c>
      <c r="AM392" s="42">
        <v>0</v>
      </c>
      <c r="AN392" s="44">
        <v>5</v>
      </c>
      <c r="AO392" s="44">
        <v>2</v>
      </c>
      <c r="AP392" s="44">
        <v>1</v>
      </c>
      <c r="AQ392" s="44">
        <v>1</v>
      </c>
      <c r="AR392" s="44">
        <v>2</v>
      </c>
      <c r="AS392" s="44">
        <v>3</v>
      </c>
      <c r="AT392" s="44">
        <v>3</v>
      </c>
      <c r="AU392" s="44">
        <v>0</v>
      </c>
      <c r="AV392" s="45" t="e">
        <f>SUM([1]!Table1[[#This Row],[*Learning Model (Daniel)]:[Other2]])</f>
        <v>#VALUE!</v>
      </c>
      <c r="AW392" s="34">
        <v>0</v>
      </c>
      <c r="AX392" s="34">
        <v>0</v>
      </c>
      <c r="AY392" s="34">
        <v>5</v>
      </c>
    </row>
    <row r="393" spans="1:51">
      <c r="A393" s="31" t="s">
        <v>380</v>
      </c>
      <c r="B393" s="32" t="s">
        <v>195</v>
      </c>
      <c r="C393" s="32" t="b">
        <v>0</v>
      </c>
      <c r="D393" t="s">
        <v>379</v>
      </c>
      <c r="E393" s="32" t="s">
        <v>890</v>
      </c>
      <c r="F393" s="32" t="s">
        <v>892</v>
      </c>
      <c r="G393" s="32"/>
      <c r="H393" s="32" t="s">
        <v>381</v>
      </c>
      <c r="I393" s="33" t="s">
        <v>1468</v>
      </c>
      <c r="J393" s="33" t="s">
        <v>240</v>
      </c>
      <c r="K393" s="33"/>
      <c r="L393" s="34" t="s">
        <v>24</v>
      </c>
      <c r="M393" s="35"/>
      <c r="N393" s="6"/>
      <c r="O393" s="6"/>
      <c r="P393" s="36" t="s">
        <v>39</v>
      </c>
      <c r="Q393" s="6"/>
      <c r="R393" s="34"/>
      <c r="S393" s="34"/>
      <c r="T393" s="34"/>
      <c r="U393" s="37">
        <v>43101</v>
      </c>
      <c r="V393" s="37">
        <v>43132</v>
      </c>
      <c r="W393" s="38" t="e">
        <f>DATEDIF([1]!Table1[[#This Row],[Start Date*]],[1]!Table1[[#This Row],[End Date*]],"d")</f>
        <v>#VALUE!</v>
      </c>
      <c r="X393" s="39" t="e">
        <f>SUM([1]!Table1[[#This Row],[DB]:[EH]])</f>
        <v>#VALUE!</v>
      </c>
      <c r="Y393" s="34"/>
      <c r="Z393" s="34"/>
      <c r="AC393" s="34"/>
      <c r="AE393" s="34"/>
      <c r="AF393" s="40">
        <v>2</v>
      </c>
      <c r="AG393" s="34">
        <v>2</v>
      </c>
      <c r="AH393" s="34">
        <v>3</v>
      </c>
      <c r="AI393" s="34">
        <v>0</v>
      </c>
      <c r="AJ393" s="34">
        <v>0</v>
      </c>
      <c r="AK393" s="34">
        <v>0</v>
      </c>
      <c r="AL393" s="41" t="e">
        <f>SUBTOTAL(9,[1]!Table1[[#This Row],[Online Learning]:[Other]])</f>
        <v>#VALUE!</v>
      </c>
      <c r="AM393" s="42">
        <v>0</v>
      </c>
      <c r="AN393" s="43">
        <v>0</v>
      </c>
      <c r="AO393" s="44">
        <v>0</v>
      </c>
      <c r="AP393" s="44">
        <v>0</v>
      </c>
      <c r="AQ393" s="44">
        <v>0</v>
      </c>
      <c r="AR393" s="44">
        <v>0</v>
      </c>
      <c r="AS393" s="44">
        <v>0</v>
      </c>
      <c r="AT393" s="44">
        <v>0</v>
      </c>
      <c r="AU393" s="44">
        <v>4</v>
      </c>
      <c r="AV393" s="45" t="e">
        <f>SUM([1]!Table1[[#This Row],[*Learning Model (Daniel)]:[Other2]])</f>
        <v>#VALUE!</v>
      </c>
      <c r="AW393" s="34">
        <v>3</v>
      </c>
      <c r="AX393" s="34">
        <v>0</v>
      </c>
      <c r="AY393" s="34">
        <v>3</v>
      </c>
    </row>
    <row r="394" spans="1:51">
      <c r="A394" s="31" t="s">
        <v>213</v>
      </c>
      <c r="B394" s="32" t="s">
        <v>195</v>
      </c>
      <c r="C394" s="32" t="b">
        <v>0</v>
      </c>
      <c r="D394" s="54" t="s">
        <v>481</v>
      </c>
      <c r="E394" s="32" t="s">
        <v>890</v>
      </c>
      <c r="F394" s="32" t="s">
        <v>894</v>
      </c>
      <c r="G394" s="32" t="s">
        <v>919</v>
      </c>
      <c r="H394" s="32" t="s">
        <v>482</v>
      </c>
      <c r="I394" s="33" t="s">
        <v>1468</v>
      </c>
      <c r="J394" s="67" t="s">
        <v>214</v>
      </c>
      <c r="K394" s="33"/>
      <c r="L394" s="34" t="s">
        <v>24</v>
      </c>
      <c r="M394" s="34" t="s">
        <v>37</v>
      </c>
      <c r="N394" s="6" t="s">
        <v>56</v>
      </c>
      <c r="O394" s="6"/>
      <c r="P394" s="47"/>
      <c r="Q394" s="6"/>
      <c r="R394" s="34">
        <v>100</v>
      </c>
      <c r="S394" s="34"/>
      <c r="T394" s="34" t="s">
        <v>1</v>
      </c>
      <c r="U394" s="37">
        <v>42767</v>
      </c>
      <c r="V394" s="37">
        <v>42856</v>
      </c>
      <c r="W394" s="38" t="e">
        <f>DATEDIF([1]!Table1[[#This Row],[Start Date*]],[1]!Table1[[#This Row],[End Date*]],"d")</f>
        <v>#VALUE!</v>
      </c>
      <c r="X394" s="39" t="e">
        <f>SUM([1]!Table1[[#This Row],[DB]:[EH]])</f>
        <v>#VALUE!</v>
      </c>
      <c r="Y394" s="34"/>
      <c r="Z394" s="34">
        <v>80</v>
      </c>
      <c r="AC394" s="34"/>
      <c r="AE394" s="34"/>
      <c r="AF394" s="47"/>
      <c r="AG394" s="34"/>
      <c r="AH394" s="34"/>
      <c r="AI394" s="34"/>
      <c r="AJ394" s="34"/>
      <c r="AK394" s="34"/>
      <c r="AL394" s="41" t="e">
        <f>SUBTOTAL(9,[1]!Table1[[#This Row],[Online Learning]:[Other]])</f>
        <v>#VALUE!</v>
      </c>
      <c r="AM394" s="41"/>
      <c r="AN394" s="51"/>
      <c r="AO394" s="51"/>
      <c r="AP394" s="51"/>
      <c r="AQ394" s="51"/>
      <c r="AR394" s="51"/>
      <c r="AS394" s="51"/>
      <c r="AT394" s="51"/>
      <c r="AU394" s="51"/>
      <c r="AV394" s="45" t="e">
        <f>SUM([1]!Table1[[#This Row],[*Learning Model (Daniel)]:[Other2]])</f>
        <v>#VALUE!</v>
      </c>
      <c r="AW394" s="34"/>
      <c r="AX394" s="34"/>
      <c r="AY394" s="34"/>
    </row>
    <row r="395" spans="1:51">
      <c r="A395" s="31" t="s">
        <v>209</v>
      </c>
      <c r="B395" s="32" t="s">
        <v>195</v>
      </c>
      <c r="C395" s="32" t="b">
        <v>1</v>
      </c>
      <c r="D395" t="s">
        <v>469</v>
      </c>
      <c r="E395" s="32" t="s">
        <v>890</v>
      </c>
      <c r="F395" s="32" t="s">
        <v>38</v>
      </c>
      <c r="G395" s="32" t="s">
        <v>76</v>
      </c>
      <c r="H395" s="32" t="s">
        <v>470</v>
      </c>
      <c r="I395" s="33" t="s">
        <v>1468</v>
      </c>
      <c r="J395" s="33" t="s">
        <v>210</v>
      </c>
      <c r="K395" s="33"/>
      <c r="L395" s="34" t="s">
        <v>24</v>
      </c>
      <c r="M395" s="34" t="s">
        <v>25</v>
      </c>
      <c r="N395" s="6" t="s">
        <v>66</v>
      </c>
      <c r="O395" s="6"/>
      <c r="P395" s="47" t="s">
        <v>49</v>
      </c>
      <c r="Q395" s="6" t="s">
        <v>40</v>
      </c>
      <c r="R395" s="34">
        <v>40</v>
      </c>
      <c r="S395" s="34"/>
      <c r="T395" s="34" t="s">
        <v>83</v>
      </c>
      <c r="U395" s="37">
        <v>43101</v>
      </c>
      <c r="V395" s="37">
        <v>43132</v>
      </c>
      <c r="W395" s="38" t="e">
        <f>DATEDIF([1]!Table1[[#This Row],[Start Date*]],[1]!Table1[[#This Row],[End Date*]],"d")</f>
        <v>#VALUE!</v>
      </c>
      <c r="X395" s="39" t="e">
        <f>SUM([1]!Table1[[#This Row],[DB]:[EH]])</f>
        <v>#VALUE!</v>
      </c>
      <c r="Y395" s="34"/>
      <c r="Z395" s="34"/>
      <c r="AC395" s="34"/>
      <c r="AE395" s="34"/>
      <c r="AF395" s="47"/>
      <c r="AG395" s="34"/>
      <c r="AH395" s="34"/>
      <c r="AI395" s="34"/>
      <c r="AJ395" s="34"/>
      <c r="AK395" s="34"/>
      <c r="AL395" s="41" t="e">
        <f>SUBTOTAL(9,[1]!Table1[[#This Row],[Online Learning]:[Other]])</f>
        <v>#VALUE!</v>
      </c>
      <c r="AM395" s="41"/>
      <c r="AN395" s="51"/>
      <c r="AO395" s="51"/>
      <c r="AP395" s="51"/>
      <c r="AQ395" s="51"/>
      <c r="AR395" s="51"/>
      <c r="AS395" s="51"/>
      <c r="AT395" s="51"/>
      <c r="AU395" s="51"/>
      <c r="AV395" s="45" t="e">
        <f>SUM([1]!Table1[[#This Row],[*Learning Model (Daniel)]:[Other2]])</f>
        <v>#VALUE!</v>
      </c>
      <c r="AW395" s="34"/>
      <c r="AX395" s="34"/>
      <c r="AY395" s="34"/>
    </row>
    <row r="396" spans="1:51" ht="15.75">
      <c r="A396" s="31" t="s">
        <v>1180</v>
      </c>
      <c r="B396" s="32" t="s">
        <v>195</v>
      </c>
      <c r="C396" s="32" t="b">
        <v>0</v>
      </c>
      <c r="D396" s="2" t="s">
        <v>442</v>
      </c>
      <c r="E396" s="32" t="s">
        <v>890</v>
      </c>
      <c r="F396" s="32" t="s">
        <v>26</v>
      </c>
      <c r="G396" s="32" t="s">
        <v>922</v>
      </c>
      <c r="H396" s="32" t="s">
        <v>1181</v>
      </c>
      <c r="I396" s="33" t="s">
        <v>1468</v>
      </c>
      <c r="J396" s="67" t="s">
        <v>270</v>
      </c>
      <c r="K396" s="33"/>
      <c r="L396" s="34" t="s">
        <v>24</v>
      </c>
      <c r="M396" s="34" t="s">
        <v>84</v>
      </c>
      <c r="N396" s="6" t="s">
        <v>26</v>
      </c>
      <c r="O396" s="6"/>
      <c r="P396" s="47" t="s">
        <v>39</v>
      </c>
      <c r="Q396" s="6"/>
      <c r="R396" s="34">
        <v>0</v>
      </c>
      <c r="S396" s="34"/>
      <c r="T396" s="34" t="s">
        <v>46</v>
      </c>
      <c r="U396" s="37">
        <v>43101</v>
      </c>
      <c r="V396" s="37">
        <v>43132</v>
      </c>
      <c r="W396" s="38" t="e">
        <f>DATEDIF([1]!Table1[[#This Row],[Start Date*]],[1]!Table1[[#This Row],[End Date*]],"d")</f>
        <v>#VALUE!</v>
      </c>
      <c r="X396" s="39" t="e">
        <f>SUM([1]!Table1[[#This Row],[DB]:[EH]])</f>
        <v>#VALUE!</v>
      </c>
      <c r="Y396" s="34"/>
      <c r="Z396" s="34"/>
      <c r="AC396" s="34"/>
      <c r="AE396" s="34"/>
      <c r="AF396" s="40">
        <v>1</v>
      </c>
      <c r="AG396" s="34">
        <v>1</v>
      </c>
      <c r="AH396" s="34">
        <v>5</v>
      </c>
      <c r="AI396" s="34">
        <v>1</v>
      </c>
      <c r="AJ396" s="34">
        <v>0</v>
      </c>
      <c r="AK396" s="34">
        <v>0</v>
      </c>
      <c r="AL396" s="52" t="e">
        <f>SUBTOTAL(9,[1]!Table1[[#This Row],[Online Learning]:[Other]])</f>
        <v>#VALUE!</v>
      </c>
      <c r="AM396" s="42">
        <v>0</v>
      </c>
      <c r="AN396" s="43">
        <v>0</v>
      </c>
      <c r="AO396" s="44">
        <v>0</v>
      </c>
      <c r="AP396" s="44">
        <v>0</v>
      </c>
      <c r="AQ396" s="44">
        <v>2</v>
      </c>
      <c r="AR396" s="44">
        <v>0</v>
      </c>
      <c r="AS396" s="44">
        <v>0</v>
      </c>
      <c r="AT396" s="44">
        <v>4</v>
      </c>
      <c r="AU396" s="44">
        <v>0</v>
      </c>
      <c r="AV396" s="45" t="e">
        <f>SUM([1]!Table1[[#This Row],[*Learning Model (Daniel)]:[Other2]])</f>
        <v>#VALUE!</v>
      </c>
      <c r="AW396" s="34">
        <v>0</v>
      </c>
      <c r="AX396" s="34">
        <v>0</v>
      </c>
      <c r="AY396" s="34">
        <v>3</v>
      </c>
    </row>
    <row r="397" spans="1:51">
      <c r="A397" s="31" t="s">
        <v>243</v>
      </c>
      <c r="B397" s="32" t="s">
        <v>195</v>
      </c>
      <c r="C397" s="32" t="b">
        <v>0</v>
      </c>
      <c r="D397" t="s">
        <v>448</v>
      </c>
      <c r="E397" s="32" t="s">
        <v>890</v>
      </c>
      <c r="F397" s="32" t="s">
        <v>26</v>
      </c>
      <c r="G397" s="32" t="s">
        <v>913</v>
      </c>
      <c r="H397" s="32" t="s">
        <v>449</v>
      </c>
      <c r="I397" s="33" t="s">
        <v>1468</v>
      </c>
      <c r="J397" s="33" t="s">
        <v>244</v>
      </c>
      <c r="K397" s="33"/>
      <c r="L397" s="34" t="s">
        <v>24</v>
      </c>
      <c r="M397" s="34" t="s">
        <v>48</v>
      </c>
      <c r="N397" s="6" t="s">
        <v>26</v>
      </c>
      <c r="O397" s="6"/>
      <c r="P397" s="36" t="s">
        <v>39</v>
      </c>
      <c r="Q397" s="6"/>
      <c r="R397" s="34"/>
      <c r="S397" s="34"/>
      <c r="T397" s="34"/>
      <c r="U397" s="37">
        <v>43101</v>
      </c>
      <c r="V397" s="37">
        <v>43132</v>
      </c>
      <c r="W397" s="38" t="e">
        <f>DATEDIF([1]!Table1[[#This Row],[Start Date*]],[1]!Table1[[#This Row],[End Date*]],"d")</f>
        <v>#VALUE!</v>
      </c>
      <c r="X397" s="39" t="e">
        <f>SUM([1]!Table1[[#This Row],[DB]:[EH]])</f>
        <v>#VALUE!</v>
      </c>
      <c r="Y397" s="34"/>
      <c r="Z397" s="34"/>
      <c r="AC397" s="34"/>
      <c r="AE397" s="34"/>
      <c r="AF397" s="40">
        <v>2</v>
      </c>
      <c r="AG397" s="34">
        <v>2</v>
      </c>
      <c r="AH397" s="34">
        <v>2</v>
      </c>
      <c r="AI397" s="34">
        <v>0</v>
      </c>
      <c r="AJ397" s="34">
        <v>0</v>
      </c>
      <c r="AK397" s="34">
        <v>0</v>
      </c>
      <c r="AL397" s="41" t="e">
        <f>SUBTOTAL(9,[1]!Table1[[#This Row],[Online Learning]:[Other]])</f>
        <v>#VALUE!</v>
      </c>
      <c r="AM397" s="42">
        <v>0</v>
      </c>
      <c r="AN397" s="43">
        <v>0</v>
      </c>
      <c r="AO397" s="44">
        <v>0</v>
      </c>
      <c r="AP397" s="44">
        <v>3</v>
      </c>
      <c r="AQ397" s="44">
        <v>1</v>
      </c>
      <c r="AR397" s="44">
        <v>0</v>
      </c>
      <c r="AS397" s="44">
        <v>0</v>
      </c>
      <c r="AT397" s="44">
        <v>3</v>
      </c>
      <c r="AU397" s="44">
        <v>0</v>
      </c>
      <c r="AV397" s="45" t="e">
        <f>SUM([1]!Table1[[#This Row],[*Learning Model (Daniel)]:[Other2]])</f>
        <v>#VALUE!</v>
      </c>
      <c r="AW397" s="34">
        <v>0</v>
      </c>
      <c r="AX397" s="34">
        <v>0</v>
      </c>
      <c r="AY397" s="34">
        <v>3</v>
      </c>
    </row>
    <row r="398" spans="1:51">
      <c r="A398" s="31" t="s">
        <v>205</v>
      </c>
      <c r="B398" s="32" t="s">
        <v>195</v>
      </c>
      <c r="C398" s="32" t="b">
        <v>0</v>
      </c>
      <c r="D398" s="54" t="s">
        <v>488</v>
      </c>
      <c r="E398" s="32" t="s">
        <v>890</v>
      </c>
      <c r="F398" s="32" t="s">
        <v>894</v>
      </c>
      <c r="G398" s="32" t="s">
        <v>913</v>
      </c>
      <c r="H398" s="32" t="s">
        <v>489</v>
      </c>
      <c r="I398" s="33" t="s">
        <v>1468</v>
      </c>
      <c r="J398" s="68" t="s">
        <v>206</v>
      </c>
      <c r="K398" s="33"/>
      <c r="L398" s="34" t="s">
        <v>24</v>
      </c>
      <c r="M398" s="34" t="s">
        <v>48</v>
      </c>
      <c r="N398" s="6" t="s">
        <v>56</v>
      </c>
      <c r="O398" s="6"/>
      <c r="P398" s="47" t="s">
        <v>49</v>
      </c>
      <c r="Q398" s="6" t="s">
        <v>28</v>
      </c>
      <c r="R398" s="34">
        <v>100</v>
      </c>
      <c r="S398" s="34" t="s">
        <v>199</v>
      </c>
      <c r="T398" s="34" t="s">
        <v>1</v>
      </c>
      <c r="U398" s="37">
        <v>42736</v>
      </c>
      <c r="V398" s="37">
        <v>42917</v>
      </c>
      <c r="W398" s="38" t="e">
        <f>DATEDIF([1]!Table1[[#This Row],[Start Date*]],[1]!Table1[[#This Row],[End Date*]],"d")</f>
        <v>#VALUE!</v>
      </c>
      <c r="X398" s="39" t="e">
        <f>SUM([1]!Table1[[#This Row],[DB]:[EH]])</f>
        <v>#VALUE!</v>
      </c>
      <c r="Y398" s="34"/>
      <c r="Z398" s="34"/>
      <c r="AA398" s="34">
        <v>80</v>
      </c>
      <c r="AC398" s="34"/>
      <c r="AE398" s="34"/>
      <c r="AF398" s="47"/>
      <c r="AG398" s="34">
        <v>2</v>
      </c>
      <c r="AH398" s="34">
        <v>2</v>
      </c>
      <c r="AI398" s="34">
        <v>1</v>
      </c>
      <c r="AJ398" s="34">
        <v>2</v>
      </c>
      <c r="AK398" s="34">
        <v>0</v>
      </c>
      <c r="AL398" s="41" t="e">
        <f>SUBTOTAL(9,[1]!Table1[[#This Row],[Online Learning]:[Other]])</f>
        <v>#VALUE!</v>
      </c>
      <c r="AM398" s="42">
        <v>0</v>
      </c>
      <c r="AN398" s="44">
        <v>0</v>
      </c>
      <c r="AO398" s="44">
        <v>2</v>
      </c>
      <c r="AP398" s="44">
        <v>0</v>
      </c>
      <c r="AQ398" s="44">
        <v>2</v>
      </c>
      <c r="AR398" s="44">
        <v>2</v>
      </c>
      <c r="AS398" s="44">
        <v>3</v>
      </c>
      <c r="AT398" s="44">
        <v>3</v>
      </c>
      <c r="AU398" s="44">
        <v>2</v>
      </c>
      <c r="AV398" s="45" t="e">
        <f>SUM([1]!Table1[[#This Row],[*Learning Model (Daniel)]:[Other2]])</f>
        <v>#VALUE!</v>
      </c>
      <c r="AW398" s="34">
        <v>0</v>
      </c>
      <c r="AX398" s="34">
        <v>1</v>
      </c>
      <c r="AY398" s="34">
        <v>3</v>
      </c>
    </row>
    <row r="399" spans="1:51">
      <c r="A399" s="31" t="s">
        <v>1146</v>
      </c>
      <c r="B399" s="32" t="s">
        <v>195</v>
      </c>
      <c r="C399" s="32" t="b">
        <v>0</v>
      </c>
      <c r="D399" s="54" t="s">
        <v>450</v>
      </c>
      <c r="E399" s="32" t="s">
        <v>890</v>
      </c>
      <c r="F399" s="32" t="s">
        <v>26</v>
      </c>
      <c r="G399" s="32" t="s">
        <v>913</v>
      </c>
      <c r="H399" s="32" t="s">
        <v>1147</v>
      </c>
      <c r="I399" s="33" t="s">
        <v>1468</v>
      </c>
      <c r="J399" s="46" t="s">
        <v>247</v>
      </c>
      <c r="K399" s="33"/>
      <c r="L399" s="34" t="s">
        <v>24</v>
      </c>
      <c r="M399" s="34" t="s">
        <v>48</v>
      </c>
      <c r="N399" s="6" t="s">
        <v>26</v>
      </c>
      <c r="O399" s="6"/>
      <c r="P399" s="36" t="s">
        <v>57</v>
      </c>
      <c r="Q399" s="6"/>
      <c r="R399" s="34"/>
      <c r="S399" s="34"/>
      <c r="T399" s="34" t="s">
        <v>73</v>
      </c>
      <c r="U399" s="37">
        <v>42917</v>
      </c>
      <c r="V399" s="37">
        <v>43009</v>
      </c>
      <c r="W399" s="38" t="e">
        <f>DATEDIF([1]!Table1[[#This Row],[Start Date*]],[1]!Table1[[#This Row],[End Date*]],"d")</f>
        <v>#VALUE!</v>
      </c>
      <c r="X399" s="39" t="e">
        <f>SUM([1]!Table1[[#This Row],[DB]:[EH]])</f>
        <v>#VALUE!</v>
      </c>
      <c r="Y399" s="34"/>
      <c r="Z399" s="34"/>
      <c r="AC399" s="34"/>
      <c r="AE399" s="34"/>
      <c r="AF399" s="40">
        <v>1</v>
      </c>
      <c r="AG399" s="34">
        <v>5</v>
      </c>
      <c r="AH399" s="34"/>
      <c r="AI399" s="34"/>
      <c r="AJ399" s="34"/>
      <c r="AK399" s="34"/>
      <c r="AL399" s="41" t="e">
        <f>SUBTOTAL(9,[1]!Table1[[#This Row],[Online Learning]:[Other]])</f>
        <v>#VALUE!</v>
      </c>
      <c r="AM399" s="42">
        <v>0</v>
      </c>
      <c r="AN399" s="43">
        <v>0</v>
      </c>
      <c r="AO399" s="44">
        <v>0</v>
      </c>
      <c r="AP399" s="44">
        <v>5</v>
      </c>
      <c r="AQ399" s="44">
        <v>0</v>
      </c>
      <c r="AR399" s="44">
        <v>0</v>
      </c>
      <c r="AS399" s="44">
        <v>0</v>
      </c>
      <c r="AT399" s="44">
        <v>0</v>
      </c>
      <c r="AU399" s="44">
        <v>0</v>
      </c>
      <c r="AV399" s="45" t="e">
        <f>SUM([1]!Table1[[#This Row],[*Learning Model (Daniel)]:[Other2]])</f>
        <v>#VALUE!</v>
      </c>
      <c r="AW399" s="34" t="s">
        <v>233</v>
      </c>
      <c r="AX399" s="34" t="s">
        <v>233</v>
      </c>
      <c r="AY399" s="34" t="s">
        <v>233</v>
      </c>
    </row>
    <row r="400" spans="1:51">
      <c r="A400" s="31" t="s">
        <v>255</v>
      </c>
      <c r="B400" s="32" t="s">
        <v>195</v>
      </c>
      <c r="C400" s="32" t="b">
        <v>0</v>
      </c>
      <c r="D400" t="s">
        <v>377</v>
      </c>
      <c r="E400" s="32" t="s">
        <v>890</v>
      </c>
      <c r="F400" s="32" t="s">
        <v>892</v>
      </c>
      <c r="G400" s="32"/>
      <c r="H400" s="32" t="s">
        <v>378</v>
      </c>
      <c r="I400" s="33" t="s">
        <v>1468</v>
      </c>
      <c r="J400" s="68" t="s">
        <v>256</v>
      </c>
      <c r="K400" s="33"/>
      <c r="L400" s="34" t="s">
        <v>24</v>
      </c>
      <c r="M400" s="35"/>
      <c r="N400" s="6"/>
      <c r="O400" s="6"/>
      <c r="P400" s="47" t="s">
        <v>49</v>
      </c>
      <c r="Q400" s="6"/>
      <c r="R400" s="34">
        <v>0</v>
      </c>
      <c r="S400" s="34"/>
      <c r="T400" s="34"/>
      <c r="U400" s="37">
        <v>43101</v>
      </c>
      <c r="V400" s="37">
        <v>43132</v>
      </c>
      <c r="W400" s="38" t="e">
        <f>DATEDIF([1]!Table1[[#This Row],[Start Date*]],[1]!Table1[[#This Row],[End Date*]],"d")</f>
        <v>#VALUE!</v>
      </c>
      <c r="X400" s="39" t="e">
        <f>SUM([1]!Table1[[#This Row],[DB]:[EH]])</f>
        <v>#VALUE!</v>
      </c>
      <c r="Y400" s="34"/>
      <c r="Z400" s="34"/>
      <c r="AA400" s="34">
        <v>100</v>
      </c>
      <c r="AC400" s="34"/>
      <c r="AE400" s="34"/>
      <c r="AF400" s="40">
        <v>3</v>
      </c>
      <c r="AG400" s="34">
        <v>2</v>
      </c>
      <c r="AH400" s="34">
        <v>2</v>
      </c>
      <c r="AI400" s="34">
        <v>0</v>
      </c>
      <c r="AJ400" s="34">
        <v>0</v>
      </c>
      <c r="AK400" s="34">
        <v>0</v>
      </c>
      <c r="AL400" s="52" t="e">
        <f>SUBTOTAL(9,[1]!Table1[[#This Row],[Online Learning]:[Other]])</f>
        <v>#VALUE!</v>
      </c>
      <c r="AM400" s="42">
        <v>1</v>
      </c>
      <c r="AN400" s="43">
        <v>0</v>
      </c>
      <c r="AO400" s="44">
        <v>5</v>
      </c>
      <c r="AP400" s="44">
        <v>3</v>
      </c>
      <c r="AQ400" s="44">
        <v>3</v>
      </c>
      <c r="AR400" s="44">
        <v>0</v>
      </c>
      <c r="AS400" s="44">
        <v>1</v>
      </c>
      <c r="AT400" s="44">
        <v>1</v>
      </c>
      <c r="AU400" s="44">
        <v>0</v>
      </c>
      <c r="AV400" s="45" t="e">
        <f>SUM([1]!Table1[[#This Row],[*Learning Model (Daniel)]:[Other2]])</f>
        <v>#VALUE!</v>
      </c>
      <c r="AW400" s="34">
        <v>2</v>
      </c>
      <c r="AX400" s="34">
        <v>2</v>
      </c>
      <c r="AY400" s="34">
        <v>3</v>
      </c>
    </row>
    <row r="401" spans="1:51">
      <c r="A401" s="31" t="s">
        <v>1185</v>
      </c>
      <c r="B401" s="32" t="s">
        <v>195</v>
      </c>
      <c r="C401" s="32" t="b">
        <v>0</v>
      </c>
      <c r="D401" t="s">
        <v>1184</v>
      </c>
      <c r="E401" s="32" t="s">
        <v>890</v>
      </c>
      <c r="F401" s="32" t="s">
        <v>0</v>
      </c>
      <c r="G401" s="32" t="s">
        <v>1197</v>
      </c>
      <c r="H401" s="32" t="s">
        <v>1186</v>
      </c>
      <c r="I401" s="33" t="s">
        <v>1468</v>
      </c>
      <c r="J401" s="33" t="s">
        <v>1479</v>
      </c>
      <c r="K401" s="33"/>
      <c r="L401" s="34" t="s">
        <v>24</v>
      </c>
      <c r="M401" s="34" t="s">
        <v>25</v>
      </c>
      <c r="N401" s="6" t="s">
        <v>0</v>
      </c>
      <c r="O401" s="6"/>
      <c r="P401" s="36" t="s">
        <v>49</v>
      </c>
      <c r="Q401" s="6"/>
      <c r="R401" s="34"/>
      <c r="S401" s="34"/>
      <c r="T401" s="34" t="s">
        <v>46</v>
      </c>
      <c r="U401" s="37">
        <v>42948</v>
      </c>
      <c r="V401" s="37">
        <v>43191</v>
      </c>
      <c r="W401" s="38" t="e">
        <f>DATEDIF([1]!Table1[[#This Row],[Start Date*]],[1]!Table1[[#This Row],[End Date*]],"d")</f>
        <v>#VALUE!</v>
      </c>
      <c r="X401" s="39" t="e">
        <f>SUM([1]!Table1[[#This Row],[DB]:[EH]])</f>
        <v>#VALUE!</v>
      </c>
      <c r="Y401" s="34"/>
      <c r="Z401" s="34"/>
      <c r="AC401" s="34"/>
      <c r="AE401" s="34"/>
      <c r="AF401" s="40"/>
      <c r="AG401" s="34">
        <v>1</v>
      </c>
      <c r="AH401" s="34">
        <v>4</v>
      </c>
      <c r="AI401" s="34">
        <v>1</v>
      </c>
      <c r="AJ401" s="34">
        <v>1</v>
      </c>
      <c r="AK401" s="34">
        <v>0</v>
      </c>
      <c r="AL401" s="41" t="e">
        <f>SUBTOTAL(9,[1]!Table1[[#This Row],[Online Learning]:[Other]])</f>
        <v>#VALUE!</v>
      </c>
      <c r="AM401" s="42">
        <v>4</v>
      </c>
      <c r="AN401" s="44">
        <v>0</v>
      </c>
      <c r="AO401" s="44">
        <v>0</v>
      </c>
      <c r="AP401" s="44">
        <v>1</v>
      </c>
      <c r="AQ401" s="44">
        <v>4</v>
      </c>
      <c r="AR401" s="44">
        <v>0</v>
      </c>
      <c r="AS401" s="44">
        <v>3</v>
      </c>
      <c r="AT401" s="51">
        <v>0</v>
      </c>
      <c r="AU401" s="44">
        <v>0</v>
      </c>
      <c r="AV401" s="45" t="e">
        <f>SUM([1]!Table1[[#This Row],[*Learning Model (Daniel)]:[Other2]])</f>
        <v>#VALUE!</v>
      </c>
      <c r="AW401" s="34">
        <v>2</v>
      </c>
      <c r="AX401" s="34">
        <v>0</v>
      </c>
      <c r="AY401" s="34">
        <v>2</v>
      </c>
    </row>
    <row r="402" spans="1:51" ht="15.75">
      <c r="A402" s="31" t="s">
        <v>1480</v>
      </c>
      <c r="B402" s="40"/>
      <c r="C402" s="40"/>
      <c r="D402" s="1"/>
      <c r="E402" s="40"/>
      <c r="F402" s="40"/>
      <c r="G402" s="40"/>
      <c r="H402" s="40"/>
      <c r="I402" s="34"/>
      <c r="J402" s="60" t="s">
        <v>207</v>
      </c>
      <c r="K402" s="33"/>
      <c r="L402" s="34" t="s">
        <v>36</v>
      </c>
      <c r="M402" s="34" t="s">
        <v>55</v>
      </c>
      <c r="N402" s="6" t="s">
        <v>0</v>
      </c>
      <c r="O402" s="6"/>
      <c r="P402" s="47"/>
      <c r="Q402" s="6"/>
      <c r="R402" s="34">
        <v>80</v>
      </c>
      <c r="S402" s="34"/>
      <c r="T402" s="34"/>
      <c r="U402" s="37">
        <v>42767</v>
      </c>
      <c r="V402" s="37">
        <v>42856</v>
      </c>
      <c r="W402" s="38" t="e">
        <f>DATEDIF([1]!Table1[[#This Row],[Start Date*]],[1]!Table1[[#This Row],[End Date*]],"d")</f>
        <v>#VALUE!</v>
      </c>
      <c r="X402" s="39" t="e">
        <f>SUM([1]!Table1[[#This Row],[DB]:[EH]])</f>
        <v>#VALUE!</v>
      </c>
      <c r="Y402" s="34"/>
      <c r="Z402" s="34"/>
      <c r="AB402" s="34">
        <v>40</v>
      </c>
      <c r="AC402" s="34"/>
      <c r="AE402" s="34"/>
      <c r="AF402" s="47"/>
      <c r="AG402" s="34">
        <v>3</v>
      </c>
      <c r="AH402" s="34">
        <v>2</v>
      </c>
      <c r="AI402" s="34">
        <v>5</v>
      </c>
      <c r="AJ402" s="34">
        <v>4</v>
      </c>
      <c r="AK402" s="34">
        <v>0</v>
      </c>
      <c r="AL402" s="41" t="e">
        <f>SUBTOTAL(9,[1]!Table1[[#This Row],[Online Learning]:[Other]])</f>
        <v>#VALUE!</v>
      </c>
      <c r="AM402" s="42"/>
      <c r="AN402" s="44"/>
      <c r="AO402" s="44"/>
      <c r="AP402" s="44"/>
      <c r="AQ402" s="44"/>
      <c r="AR402" s="44"/>
      <c r="AS402" s="44"/>
      <c r="AT402" s="44"/>
      <c r="AU402" s="44"/>
      <c r="AV402" s="45" t="e">
        <f>SUM([1]!Table1[[#This Row],[*Learning Model (Daniel)]:[Other2]])</f>
        <v>#VALUE!</v>
      </c>
      <c r="AW402" s="34"/>
      <c r="AX402" s="34"/>
      <c r="AY402" s="34"/>
    </row>
    <row r="403" spans="1:51">
      <c r="A403" s="31" t="s">
        <v>224</v>
      </c>
      <c r="B403" s="32" t="s">
        <v>195</v>
      </c>
      <c r="C403" s="32" t="b">
        <v>0</v>
      </c>
      <c r="D403" t="s">
        <v>451</v>
      </c>
      <c r="E403" s="32" t="s">
        <v>890</v>
      </c>
      <c r="F403" s="32" t="s">
        <v>26</v>
      </c>
      <c r="G403" s="32" t="s">
        <v>76</v>
      </c>
      <c r="H403" s="32" t="s">
        <v>452</v>
      </c>
      <c r="I403" s="33" t="s">
        <v>1468</v>
      </c>
      <c r="J403" s="46" t="s">
        <v>225</v>
      </c>
      <c r="K403" s="33"/>
      <c r="L403" s="34" t="s">
        <v>24</v>
      </c>
      <c r="M403" s="34" t="s">
        <v>25</v>
      </c>
      <c r="N403" s="6" t="s">
        <v>26</v>
      </c>
      <c r="O403" s="6"/>
      <c r="P403" s="47" t="s">
        <v>57</v>
      </c>
      <c r="Q403" s="6"/>
      <c r="R403" s="34">
        <v>0</v>
      </c>
      <c r="S403" s="34"/>
      <c r="T403" s="34"/>
      <c r="U403" s="37">
        <v>42948</v>
      </c>
      <c r="V403" s="37">
        <v>43040</v>
      </c>
      <c r="W403" s="38" t="e">
        <f>DATEDIF([1]!Table1[[#This Row],[Start Date*]],[1]!Table1[[#This Row],[End Date*]],"d")</f>
        <v>#VALUE!</v>
      </c>
      <c r="X403" s="39" t="e">
        <f>SUM([1]!Table1[[#This Row],[DB]:[EH]])</f>
        <v>#VALUE!</v>
      </c>
      <c r="Y403" s="34"/>
      <c r="Z403" s="34"/>
      <c r="AA403" s="34">
        <v>50</v>
      </c>
      <c r="AC403" s="34"/>
      <c r="AE403" s="34"/>
      <c r="AF403" s="40">
        <v>1</v>
      </c>
      <c r="AG403" s="34">
        <v>3</v>
      </c>
      <c r="AH403" s="34">
        <v>3</v>
      </c>
      <c r="AI403" s="34">
        <v>3</v>
      </c>
      <c r="AJ403" s="34">
        <v>1</v>
      </c>
      <c r="AK403" s="34">
        <v>0</v>
      </c>
      <c r="AL403" s="52" t="e">
        <f>SUBTOTAL(9,[1]!Table1[[#This Row],[Online Learning]:[Other]])</f>
        <v>#VALUE!</v>
      </c>
      <c r="AM403" s="42">
        <v>4</v>
      </c>
      <c r="AN403" s="43">
        <v>0</v>
      </c>
      <c r="AO403" s="44">
        <v>0</v>
      </c>
      <c r="AP403" s="44">
        <v>2</v>
      </c>
      <c r="AQ403" s="44">
        <v>2</v>
      </c>
      <c r="AR403" s="44">
        <v>0</v>
      </c>
      <c r="AS403" s="44">
        <v>5</v>
      </c>
      <c r="AT403" s="44">
        <v>0</v>
      </c>
      <c r="AU403" s="44">
        <v>0</v>
      </c>
      <c r="AV403" s="45" t="e">
        <f>SUM([1]!Table1[[#This Row],[*Learning Model (Daniel)]:[Other2]])</f>
        <v>#VALUE!</v>
      </c>
      <c r="AW403" s="34">
        <v>2</v>
      </c>
      <c r="AX403" s="34">
        <v>5</v>
      </c>
      <c r="AY403" s="34">
        <v>1</v>
      </c>
    </row>
    <row r="404" spans="1:51">
      <c r="A404" s="31" t="s">
        <v>228</v>
      </c>
      <c r="B404" s="32" t="s">
        <v>195</v>
      </c>
      <c r="C404" s="32" t="b">
        <v>0</v>
      </c>
      <c r="D404" s="54" t="s">
        <v>453</v>
      </c>
      <c r="E404" s="32" t="s">
        <v>890</v>
      </c>
      <c r="F404" s="32" t="s">
        <v>26</v>
      </c>
      <c r="G404" s="32" t="s">
        <v>76</v>
      </c>
      <c r="H404" s="32" t="s">
        <v>454</v>
      </c>
      <c r="I404" s="33" t="s">
        <v>1468</v>
      </c>
      <c r="J404" s="67" t="s">
        <v>229</v>
      </c>
      <c r="K404" s="33"/>
      <c r="L404" s="34" t="s">
        <v>24</v>
      </c>
      <c r="M404" s="34" t="s">
        <v>25</v>
      </c>
      <c r="N404" s="6" t="s">
        <v>26</v>
      </c>
      <c r="O404" s="6"/>
      <c r="P404" s="47" t="s">
        <v>57</v>
      </c>
      <c r="Q404" s="6"/>
      <c r="R404" s="34">
        <v>0</v>
      </c>
      <c r="S404" s="34"/>
      <c r="T404" s="34"/>
      <c r="U404" s="37">
        <v>42917</v>
      </c>
      <c r="V404" s="37">
        <v>43221</v>
      </c>
      <c r="W404" s="38" t="e">
        <f>DATEDIF([1]!Table1[[#This Row],[Start Date*]],[1]!Table1[[#This Row],[End Date*]],"d")</f>
        <v>#VALUE!</v>
      </c>
      <c r="X404" s="39" t="e">
        <f>SUM([1]!Table1[[#This Row],[DB]:[EH]])</f>
        <v>#VALUE!</v>
      </c>
      <c r="Y404" s="34">
        <v>70</v>
      </c>
      <c r="Z404" s="34"/>
      <c r="AC404" s="34"/>
      <c r="AE404" s="34"/>
      <c r="AF404" s="40">
        <v>2</v>
      </c>
      <c r="AG404" s="34">
        <v>3</v>
      </c>
      <c r="AH404" s="34">
        <v>3</v>
      </c>
      <c r="AI404" s="34">
        <v>2</v>
      </c>
      <c r="AJ404" s="34">
        <v>2</v>
      </c>
      <c r="AK404" s="34">
        <v>0</v>
      </c>
      <c r="AL404" s="52" t="e">
        <f>SUBTOTAL(9,[1]!Table1[[#This Row],[Online Learning]:[Other]])</f>
        <v>#VALUE!</v>
      </c>
      <c r="AM404" s="42">
        <v>5</v>
      </c>
      <c r="AN404" s="43">
        <v>0</v>
      </c>
      <c r="AO404" s="44">
        <v>0</v>
      </c>
      <c r="AP404" s="44">
        <v>1</v>
      </c>
      <c r="AQ404" s="44">
        <v>1</v>
      </c>
      <c r="AR404" s="44">
        <v>0</v>
      </c>
      <c r="AS404" s="44">
        <v>3</v>
      </c>
      <c r="AT404" s="44">
        <v>0</v>
      </c>
      <c r="AU404" s="44">
        <v>0</v>
      </c>
      <c r="AV404" s="45" t="e">
        <f>SUM([1]!Table1[[#This Row],[*Learning Model (Daniel)]:[Other2]])</f>
        <v>#VALUE!</v>
      </c>
      <c r="AW404" s="34">
        <v>4</v>
      </c>
      <c r="AX404" s="34">
        <v>1</v>
      </c>
      <c r="AY404" s="34">
        <v>1</v>
      </c>
    </row>
    <row r="405" spans="1:51">
      <c r="A405" s="31" t="s">
        <v>259</v>
      </c>
      <c r="B405" s="32" t="s">
        <v>195</v>
      </c>
      <c r="C405" s="32" t="b">
        <v>0</v>
      </c>
      <c r="D405" t="s">
        <v>508</v>
      </c>
      <c r="E405" s="32" t="s">
        <v>890</v>
      </c>
      <c r="F405" s="32" t="s">
        <v>895</v>
      </c>
      <c r="G405" s="32" t="s">
        <v>908</v>
      </c>
      <c r="H405" s="32" t="s">
        <v>509</v>
      </c>
      <c r="I405" s="33" t="s">
        <v>1468</v>
      </c>
      <c r="J405" s="33" t="s">
        <v>260</v>
      </c>
      <c r="K405" s="33"/>
      <c r="L405" s="34" t="s">
        <v>24</v>
      </c>
      <c r="M405" s="34" t="s">
        <v>37</v>
      </c>
      <c r="N405" s="6" t="s">
        <v>56</v>
      </c>
      <c r="O405" s="6"/>
      <c r="P405" s="47" t="s">
        <v>39</v>
      </c>
      <c r="Q405" s="6" t="s">
        <v>28</v>
      </c>
      <c r="R405" s="34">
        <v>100</v>
      </c>
      <c r="S405" s="34" t="s">
        <v>212</v>
      </c>
      <c r="T405" s="34" t="s">
        <v>1</v>
      </c>
      <c r="U405" s="37">
        <v>42461</v>
      </c>
      <c r="V405" s="37">
        <v>42552</v>
      </c>
      <c r="W405" s="38" t="e">
        <f>DATEDIF([1]!Table1[[#This Row],[Start Date*]],[1]!Table1[[#This Row],[End Date*]],"d")</f>
        <v>#VALUE!</v>
      </c>
      <c r="X405" s="39" t="e">
        <f>SUM([1]!Table1[[#This Row],[DB]:[EH]])</f>
        <v>#VALUE!</v>
      </c>
      <c r="Y405" s="34"/>
      <c r="Z405" s="34">
        <v>30</v>
      </c>
      <c r="AC405" s="34"/>
      <c r="AE405" s="34"/>
      <c r="AF405" s="47"/>
      <c r="AG405" s="34"/>
      <c r="AH405" s="34"/>
      <c r="AI405" s="34"/>
      <c r="AJ405" s="34"/>
      <c r="AK405" s="34"/>
      <c r="AL405" s="41" t="e">
        <f>SUBTOTAL(9,[1]!Table1[[#This Row],[Online Learning]:[Other]])</f>
        <v>#VALUE!</v>
      </c>
      <c r="AM405" s="42"/>
      <c r="AN405" s="44"/>
      <c r="AO405" s="44"/>
      <c r="AP405" s="44"/>
      <c r="AQ405" s="44"/>
      <c r="AR405" s="44"/>
      <c r="AS405" s="44"/>
      <c r="AT405" s="44"/>
      <c r="AU405" s="44"/>
      <c r="AV405" s="45" t="e">
        <f>SUM([1]!Table1[[#This Row],[*Learning Model (Daniel)]:[Other2]])</f>
        <v>#VALUE!</v>
      </c>
      <c r="AW405" s="34"/>
      <c r="AX405" s="34"/>
      <c r="AY405" s="34"/>
    </row>
    <row r="406" spans="1:51">
      <c r="A406" s="31" t="s">
        <v>245</v>
      </c>
      <c r="B406" s="32" t="s">
        <v>195</v>
      </c>
      <c r="C406" s="32" t="b">
        <v>0</v>
      </c>
      <c r="D406" t="s">
        <v>479</v>
      </c>
      <c r="E406" s="32" t="s">
        <v>890</v>
      </c>
      <c r="F406" s="32" t="s">
        <v>895</v>
      </c>
      <c r="G406" s="32" t="s">
        <v>913</v>
      </c>
      <c r="H406" s="32" t="s">
        <v>480</v>
      </c>
      <c r="I406" s="33" t="s">
        <v>1468</v>
      </c>
      <c r="J406" s="68" t="s">
        <v>246</v>
      </c>
      <c r="K406" s="33"/>
      <c r="L406" s="34" t="s">
        <v>24</v>
      </c>
      <c r="M406" s="34" t="s">
        <v>48</v>
      </c>
      <c r="N406" s="6" t="s">
        <v>56</v>
      </c>
      <c r="O406" s="6"/>
      <c r="P406" s="47" t="s">
        <v>39</v>
      </c>
      <c r="Q406" s="6" t="s">
        <v>28</v>
      </c>
      <c r="R406" s="34">
        <v>100</v>
      </c>
      <c r="S406" s="34" t="s">
        <v>212</v>
      </c>
      <c r="T406" s="34" t="s">
        <v>1</v>
      </c>
      <c r="U406" s="37">
        <v>42614</v>
      </c>
      <c r="V406" s="37">
        <v>42767</v>
      </c>
      <c r="W406" s="38" t="e">
        <f>DATEDIF([1]!Table1[[#This Row],[Start Date*]],[1]!Table1[[#This Row],[End Date*]],"d")</f>
        <v>#VALUE!</v>
      </c>
      <c r="X406" s="39" t="e">
        <f>SUM([1]!Table1[[#This Row],[DB]:[EH]])</f>
        <v>#VALUE!</v>
      </c>
      <c r="Y406" s="34"/>
      <c r="Z406" s="34"/>
      <c r="AC406" s="34"/>
      <c r="AE406" s="34"/>
      <c r="AF406" s="47"/>
      <c r="AG406" s="34"/>
      <c r="AH406" s="34"/>
      <c r="AI406" s="34"/>
      <c r="AJ406" s="34"/>
      <c r="AK406" s="34"/>
      <c r="AL406" s="41" t="e">
        <f>SUBTOTAL(9,[1]!Table1[[#This Row],[Online Learning]:[Other]])</f>
        <v>#VALUE!</v>
      </c>
      <c r="AM406" s="42"/>
      <c r="AN406" s="44"/>
      <c r="AO406" s="44"/>
      <c r="AP406" s="44"/>
      <c r="AQ406" s="44"/>
      <c r="AR406" s="44"/>
      <c r="AS406" s="44"/>
      <c r="AT406" s="44"/>
      <c r="AU406" s="44"/>
      <c r="AV406" s="45" t="e">
        <f>SUM([1]!Table1[[#This Row],[*Learning Model (Daniel)]:[Other2]])</f>
        <v>#VALUE!</v>
      </c>
      <c r="AW406" s="34"/>
      <c r="AX406" s="34"/>
      <c r="AY406" s="34"/>
    </row>
    <row r="407" spans="1:51">
      <c r="A407" s="31" t="s">
        <v>645</v>
      </c>
      <c r="B407" s="32" t="s">
        <v>195</v>
      </c>
      <c r="C407" s="32" t="b">
        <v>0</v>
      </c>
      <c r="D407" s="54" t="s">
        <v>644</v>
      </c>
      <c r="E407" s="32" t="s">
        <v>890</v>
      </c>
      <c r="F407" s="32" t="s">
        <v>899</v>
      </c>
      <c r="G407" s="32" t="s">
        <v>913</v>
      </c>
      <c r="H407" s="32" t="s">
        <v>646</v>
      </c>
      <c r="I407" s="33" t="s">
        <v>1468</v>
      </c>
      <c r="J407" s="46" t="s">
        <v>200</v>
      </c>
      <c r="K407" s="33"/>
      <c r="L407" s="34" t="s">
        <v>24</v>
      </c>
      <c r="M407" s="34" t="s">
        <v>48</v>
      </c>
      <c r="N407" s="6" t="s">
        <v>56</v>
      </c>
      <c r="O407" s="6"/>
      <c r="P407" s="47" t="s">
        <v>39</v>
      </c>
      <c r="Q407" s="6"/>
      <c r="R407" s="34">
        <v>100</v>
      </c>
      <c r="S407" s="34" t="s">
        <v>201</v>
      </c>
      <c r="T407" s="34"/>
      <c r="U407" s="37">
        <v>42005</v>
      </c>
      <c r="V407" s="37">
        <v>42917</v>
      </c>
      <c r="W407" s="38" t="e">
        <f>DATEDIF([1]!Table1[[#This Row],[Start Date*]],[1]!Table1[[#This Row],[End Date*]],"d")</f>
        <v>#VALUE!</v>
      </c>
      <c r="X407" s="39" t="e">
        <f>SUM([1]!Table1[[#This Row],[DB]:[EH]])</f>
        <v>#VALUE!</v>
      </c>
      <c r="Y407" s="34"/>
      <c r="Z407" s="34"/>
      <c r="AA407" s="34">
        <v>30</v>
      </c>
      <c r="AC407" s="34"/>
      <c r="AE407" s="34"/>
      <c r="AF407" s="47"/>
      <c r="AG407" s="34">
        <v>3</v>
      </c>
      <c r="AH407" s="34">
        <v>0</v>
      </c>
      <c r="AI407" s="34">
        <v>0</v>
      </c>
      <c r="AJ407" s="34">
        <v>0</v>
      </c>
      <c r="AK407" s="34">
        <v>0</v>
      </c>
      <c r="AL407" s="41" t="e">
        <f>SUBTOTAL(9,[1]!Table1[[#This Row],[Online Learning]:[Other]])</f>
        <v>#VALUE!</v>
      </c>
      <c r="AM407" s="42">
        <v>0</v>
      </c>
      <c r="AN407" s="44">
        <v>0</v>
      </c>
      <c r="AO407" s="44">
        <v>0</v>
      </c>
      <c r="AP407" s="44">
        <v>4</v>
      </c>
      <c r="AQ407" s="44">
        <v>1</v>
      </c>
      <c r="AR407" s="44">
        <v>3</v>
      </c>
      <c r="AS407" s="44">
        <v>2</v>
      </c>
      <c r="AT407" s="44">
        <v>0</v>
      </c>
      <c r="AU407" s="44">
        <v>0</v>
      </c>
      <c r="AV407" s="45" t="e">
        <f>SUM([1]!Table1[[#This Row],[*Learning Model (Daniel)]:[Other2]])</f>
        <v>#VALUE!</v>
      </c>
      <c r="AW407" s="34">
        <v>3</v>
      </c>
      <c r="AX407" s="34"/>
      <c r="AY407" s="34"/>
    </row>
    <row r="408" spans="1:51">
      <c r="A408" s="31" t="s">
        <v>266</v>
      </c>
      <c r="B408" s="32" t="s">
        <v>195</v>
      </c>
      <c r="C408" s="32" t="b">
        <v>0</v>
      </c>
      <c r="D408" t="s">
        <v>375</v>
      </c>
      <c r="E408" s="32" t="s">
        <v>890</v>
      </c>
      <c r="F408" s="32" t="s">
        <v>892</v>
      </c>
      <c r="G408" s="32"/>
      <c r="H408" s="32" t="s">
        <v>376</v>
      </c>
      <c r="I408" s="33" t="s">
        <v>1468</v>
      </c>
      <c r="J408" s="67" t="s">
        <v>267</v>
      </c>
      <c r="K408" s="33"/>
      <c r="L408" s="34" t="s">
        <v>24</v>
      </c>
      <c r="M408" s="35"/>
      <c r="N408" s="6"/>
      <c r="O408" s="6"/>
      <c r="P408" s="36" t="s">
        <v>57</v>
      </c>
      <c r="Q408" s="6"/>
      <c r="R408" s="34"/>
      <c r="S408" s="34"/>
      <c r="T408" s="34"/>
      <c r="U408" s="37">
        <v>42931</v>
      </c>
      <c r="V408" s="37">
        <v>43023</v>
      </c>
      <c r="W408" s="38" t="e">
        <f>DATEDIF([1]!Table1[[#This Row],[Start Date*]],[1]!Table1[[#This Row],[End Date*]],"d")</f>
        <v>#VALUE!</v>
      </c>
      <c r="X408" s="39" t="e">
        <f>SUM([1]!Table1[[#This Row],[DB]:[EH]])</f>
        <v>#VALUE!</v>
      </c>
      <c r="Y408" s="34"/>
      <c r="Z408" s="34"/>
      <c r="AC408" s="34"/>
      <c r="AE408" s="34"/>
      <c r="AF408" s="40">
        <v>1</v>
      </c>
      <c r="AG408" s="34">
        <v>2</v>
      </c>
      <c r="AH408" s="34">
        <v>3</v>
      </c>
      <c r="AI408" s="34">
        <v>4</v>
      </c>
      <c r="AJ408" s="34">
        <v>2</v>
      </c>
      <c r="AK408" s="34">
        <v>0</v>
      </c>
      <c r="AL408" s="41" t="e">
        <f>SUBTOTAL(9,[1]!Table1[[#This Row],[Online Learning]:[Other]])</f>
        <v>#VALUE!</v>
      </c>
      <c r="AM408" s="42">
        <v>0</v>
      </c>
      <c r="AN408" s="43">
        <v>5</v>
      </c>
      <c r="AO408" s="44">
        <v>0</v>
      </c>
      <c r="AP408" s="44">
        <v>0</v>
      </c>
      <c r="AQ408" s="44">
        <v>1</v>
      </c>
      <c r="AR408" s="44">
        <v>4</v>
      </c>
      <c r="AS408" s="44">
        <v>3</v>
      </c>
      <c r="AT408" s="44">
        <v>3</v>
      </c>
      <c r="AU408" s="44">
        <v>0</v>
      </c>
      <c r="AV408" s="45" t="e">
        <f>SUM([1]!Table1[[#This Row],[*Learning Model (Daniel)]:[Other2]])</f>
        <v>#VALUE!</v>
      </c>
      <c r="AW408" s="34">
        <v>0</v>
      </c>
      <c r="AX408" s="34">
        <v>0</v>
      </c>
      <c r="AY408" s="34">
        <v>4</v>
      </c>
    </row>
    <row r="409" spans="1:51">
      <c r="A409" s="31" t="s">
        <v>230</v>
      </c>
      <c r="B409" s="32" t="s">
        <v>195</v>
      </c>
      <c r="C409" s="32" t="b">
        <v>0</v>
      </c>
      <c r="D409" s="54" t="s">
        <v>455</v>
      </c>
      <c r="E409" s="32" t="s">
        <v>890</v>
      </c>
      <c r="F409" s="32" t="s">
        <v>26</v>
      </c>
      <c r="G409" s="32" t="s">
        <v>76</v>
      </c>
      <c r="H409" s="32" t="s">
        <v>456</v>
      </c>
      <c r="I409" s="33" t="s">
        <v>1468</v>
      </c>
      <c r="J409" s="33" t="s">
        <v>231</v>
      </c>
      <c r="K409" s="33"/>
      <c r="L409" s="34" t="s">
        <v>24</v>
      </c>
      <c r="M409" s="34" t="s">
        <v>25</v>
      </c>
      <c r="N409" s="6" t="s">
        <v>26</v>
      </c>
      <c r="O409" s="6"/>
      <c r="P409" s="47" t="s">
        <v>57</v>
      </c>
      <c r="Q409" s="6"/>
      <c r="R409" s="34">
        <v>0</v>
      </c>
      <c r="S409" s="34"/>
      <c r="T409" s="34" t="s">
        <v>1</v>
      </c>
      <c r="U409" s="37">
        <v>42917</v>
      </c>
      <c r="V409" s="37">
        <v>43009</v>
      </c>
      <c r="W409" s="38" t="e">
        <f>DATEDIF([1]!Table1[[#This Row],[Start Date*]],[1]!Table1[[#This Row],[End Date*]],"d")</f>
        <v>#VALUE!</v>
      </c>
      <c r="X409" s="39" t="e">
        <f>SUM([1]!Table1[[#This Row],[DB]:[EH]])</f>
        <v>#VALUE!</v>
      </c>
      <c r="Y409" s="34"/>
      <c r="Z409" s="34">
        <v>30</v>
      </c>
      <c r="AB409" s="34">
        <v>20</v>
      </c>
      <c r="AC409" s="34"/>
      <c r="AE409" s="34"/>
      <c r="AF409" s="40">
        <v>1</v>
      </c>
      <c r="AG409" s="34">
        <v>1</v>
      </c>
      <c r="AH409" s="34">
        <v>3</v>
      </c>
      <c r="AI409" s="34">
        <v>3</v>
      </c>
      <c r="AJ409" s="34">
        <v>2</v>
      </c>
      <c r="AK409" s="34">
        <v>0</v>
      </c>
      <c r="AL409" s="53" t="e">
        <f>SUBTOTAL(9,[1]!Table1[[#This Row],[Online Learning]:[Other]])</f>
        <v>#VALUE!</v>
      </c>
      <c r="AM409" s="42">
        <v>1</v>
      </c>
      <c r="AN409" s="43">
        <v>1</v>
      </c>
      <c r="AO409" s="44">
        <v>0</v>
      </c>
      <c r="AP409" s="44">
        <v>3</v>
      </c>
      <c r="AQ409" s="44">
        <v>3</v>
      </c>
      <c r="AR409" s="44">
        <v>0</v>
      </c>
      <c r="AS409" s="44">
        <v>3</v>
      </c>
      <c r="AT409" s="44">
        <v>0</v>
      </c>
      <c r="AU409" s="44">
        <v>0</v>
      </c>
      <c r="AV409" s="45" t="e">
        <f>SUM([1]!Table1[[#This Row],[*Learning Model (Daniel)]:[Other2]])</f>
        <v>#VALUE!</v>
      </c>
      <c r="AW409" s="34">
        <v>0</v>
      </c>
      <c r="AX409" s="34">
        <v>0</v>
      </c>
      <c r="AY409" s="34">
        <v>5</v>
      </c>
    </row>
    <row r="410" spans="1:51" ht="15.75">
      <c r="A410" s="31" t="s">
        <v>458</v>
      </c>
      <c r="B410" s="32" t="s">
        <v>195</v>
      </c>
      <c r="C410" s="32" t="b">
        <v>0</v>
      </c>
      <c r="D410" s="1" t="s">
        <v>457</v>
      </c>
      <c r="E410" s="32" t="s">
        <v>890</v>
      </c>
      <c r="F410" s="32" t="s">
        <v>26</v>
      </c>
      <c r="G410" s="32" t="s">
        <v>913</v>
      </c>
      <c r="H410" s="32" t="s">
        <v>459</v>
      </c>
      <c r="I410" s="33" t="s">
        <v>1468</v>
      </c>
      <c r="J410" s="68" t="s">
        <v>257</v>
      </c>
      <c r="K410" s="33"/>
      <c r="L410" s="34" t="s">
        <v>24</v>
      </c>
      <c r="M410" s="34" t="s">
        <v>48</v>
      </c>
      <c r="N410" s="6" t="s">
        <v>26</v>
      </c>
      <c r="O410" s="6"/>
      <c r="P410" s="47" t="s">
        <v>39</v>
      </c>
      <c r="Q410" s="6"/>
      <c r="R410" s="34">
        <v>0</v>
      </c>
      <c r="S410" s="34"/>
      <c r="T410" s="34"/>
      <c r="U410" s="37">
        <v>43101</v>
      </c>
      <c r="V410" s="37">
        <v>43132</v>
      </c>
      <c r="W410" s="38" t="e">
        <f>DATEDIF([1]!Table1[[#This Row],[Start Date*]],[1]!Table1[[#This Row],[End Date*]],"d")</f>
        <v>#VALUE!</v>
      </c>
      <c r="X410" s="39" t="e">
        <f>SUM([1]!Table1[[#This Row],[DB]:[EH]])</f>
        <v>#VALUE!</v>
      </c>
      <c r="Y410" s="34"/>
      <c r="Z410" s="34"/>
      <c r="AC410" s="34"/>
      <c r="AE410" s="34"/>
      <c r="AF410" s="40">
        <v>3</v>
      </c>
      <c r="AG410" s="34">
        <v>2</v>
      </c>
      <c r="AH410" s="34">
        <v>2</v>
      </c>
      <c r="AI410" s="34">
        <v>2</v>
      </c>
      <c r="AJ410" s="34">
        <v>0</v>
      </c>
      <c r="AK410" s="34">
        <v>0</v>
      </c>
      <c r="AL410" s="53" t="e">
        <f>SUBTOTAL(9,[1]!Table1[[#This Row],[Online Learning]:[Other]])</f>
        <v>#VALUE!</v>
      </c>
      <c r="AM410" s="42">
        <v>0</v>
      </c>
      <c r="AN410" s="43">
        <v>0</v>
      </c>
      <c r="AO410" s="44">
        <v>0</v>
      </c>
      <c r="AP410" s="44">
        <v>0</v>
      </c>
      <c r="AQ410" s="44">
        <v>0</v>
      </c>
      <c r="AR410" s="44">
        <v>0</v>
      </c>
      <c r="AS410" s="44">
        <v>0</v>
      </c>
      <c r="AT410" s="44">
        <v>5</v>
      </c>
      <c r="AU410" s="44">
        <v>3</v>
      </c>
      <c r="AV410" s="45" t="e">
        <f>SUM([1]!Table1[[#This Row],[*Learning Model (Daniel)]:[Other2]])</f>
        <v>#VALUE!</v>
      </c>
      <c r="AW410" s="34">
        <v>1</v>
      </c>
      <c r="AX410" s="34">
        <v>1</v>
      </c>
      <c r="AY410" s="34">
        <v>3</v>
      </c>
    </row>
    <row r="411" spans="1:51">
      <c r="A411" s="31" t="s">
        <v>251</v>
      </c>
      <c r="B411" s="32" t="s">
        <v>195</v>
      </c>
      <c r="C411" s="32" t="b">
        <v>0</v>
      </c>
      <c r="D411" t="s">
        <v>969</v>
      </c>
      <c r="E411" s="32" t="s">
        <v>1117</v>
      </c>
      <c r="F411" s="32" t="s">
        <v>1118</v>
      </c>
      <c r="G411" s="32" t="s">
        <v>1130</v>
      </c>
      <c r="H411" s="32" t="s">
        <v>970</v>
      </c>
      <c r="I411" s="33" t="s">
        <v>1468</v>
      </c>
      <c r="J411" s="33" t="s">
        <v>252</v>
      </c>
      <c r="K411" s="33"/>
      <c r="L411" s="34" t="s">
        <v>54</v>
      </c>
      <c r="M411" s="34" t="s">
        <v>65</v>
      </c>
      <c r="N411" s="6" t="s">
        <v>26</v>
      </c>
      <c r="O411" s="6"/>
      <c r="P411" s="47" t="s">
        <v>27</v>
      </c>
      <c r="Q411" s="6"/>
      <c r="R411" s="34">
        <v>0</v>
      </c>
      <c r="S411" s="34"/>
      <c r="T411" s="34"/>
      <c r="U411" s="37">
        <v>42917</v>
      </c>
      <c r="V411" s="37">
        <v>42931</v>
      </c>
      <c r="W411" s="38" t="e">
        <f>DATEDIF([1]!Table1[[#This Row],[Start Date*]],[1]!Table1[[#This Row],[End Date*]],"d")</f>
        <v>#VALUE!</v>
      </c>
      <c r="X411" s="39" t="e">
        <f>SUM([1]!Table1[[#This Row],[DB]:[EH]])</f>
        <v>#VALUE!</v>
      </c>
      <c r="Y411" s="34"/>
      <c r="Z411" s="34"/>
      <c r="AC411" s="34"/>
      <c r="AE411" s="34"/>
      <c r="AF411" s="40">
        <v>1</v>
      </c>
      <c r="AG411" s="34">
        <v>2</v>
      </c>
      <c r="AH411" s="34">
        <v>2</v>
      </c>
      <c r="AI411" s="34">
        <v>0</v>
      </c>
      <c r="AJ411" s="34">
        <v>0</v>
      </c>
      <c r="AK411" s="34">
        <v>0</v>
      </c>
      <c r="AL411" s="53" t="e">
        <f>SUBTOTAL(9,[1]!Table1[[#This Row],[Online Learning]:[Other]])</f>
        <v>#VALUE!</v>
      </c>
      <c r="AM411" s="42">
        <v>0</v>
      </c>
      <c r="AN411" s="43">
        <v>0</v>
      </c>
      <c r="AO411" s="44">
        <v>0</v>
      </c>
      <c r="AP411" s="44">
        <v>0</v>
      </c>
      <c r="AQ411" s="44">
        <v>2</v>
      </c>
      <c r="AR411" s="44">
        <v>0</v>
      </c>
      <c r="AS411" s="44">
        <v>0</v>
      </c>
      <c r="AT411" s="44">
        <v>3</v>
      </c>
      <c r="AU411" s="44">
        <v>0</v>
      </c>
      <c r="AV411" s="45" t="e">
        <f>SUM([1]!Table1[[#This Row],[*Learning Model (Daniel)]:[Other2]])</f>
        <v>#VALUE!</v>
      </c>
      <c r="AW411" s="34">
        <v>0</v>
      </c>
      <c r="AX411" s="34">
        <v>0</v>
      </c>
      <c r="AY411" s="34">
        <v>2</v>
      </c>
    </row>
    <row r="412" spans="1:51">
      <c r="A412" s="31" t="s">
        <v>1188</v>
      </c>
      <c r="B412" s="12" t="s">
        <v>195</v>
      </c>
      <c r="C412" s="12" t="b">
        <v>0</v>
      </c>
      <c r="D412" t="s">
        <v>1187</v>
      </c>
      <c r="E412" s="12" t="s">
        <v>890</v>
      </c>
      <c r="F412" s="12" t="s">
        <v>0</v>
      </c>
      <c r="G412" s="12" t="s">
        <v>76</v>
      </c>
      <c r="H412" s="12" t="s">
        <v>1189</v>
      </c>
      <c r="I412" s="33" t="s">
        <v>1468</v>
      </c>
      <c r="J412" s="69" t="s">
        <v>1481</v>
      </c>
      <c r="K412" s="33"/>
      <c r="L412" s="34" t="s">
        <v>24</v>
      </c>
      <c r="M412" s="34" t="s">
        <v>25</v>
      </c>
      <c r="N412" s="6" t="s">
        <v>0</v>
      </c>
      <c r="O412" s="6"/>
      <c r="P412" s="6" t="s">
        <v>39</v>
      </c>
      <c r="Q412" s="6" t="s">
        <v>28</v>
      </c>
      <c r="R412" s="34">
        <v>40</v>
      </c>
      <c r="S412" s="34"/>
      <c r="T412" s="34" t="s">
        <v>1</v>
      </c>
      <c r="U412" s="37">
        <v>42948</v>
      </c>
      <c r="V412" s="34"/>
      <c r="W412" s="38" t="e">
        <f>DATEDIF([1]!Table1[[#This Row],[Start Date*]],[1]!Table1[[#This Row],[End Date*]],"d")</f>
        <v>#VALUE!</v>
      </c>
      <c r="X412" s="39" t="e">
        <f>SUM([1]!Table1[[#This Row],[DB]:[EH]])</f>
        <v>#VALUE!</v>
      </c>
      <c r="Y412" s="34"/>
      <c r="Z412" s="34"/>
      <c r="AC412" s="34"/>
      <c r="AE412" s="34"/>
      <c r="AF412" s="34">
        <v>1</v>
      </c>
      <c r="AG412" s="38">
        <v>3</v>
      </c>
      <c r="AH412" s="55">
        <v>3</v>
      </c>
      <c r="AI412" s="34">
        <v>2</v>
      </c>
      <c r="AJ412" s="34">
        <v>0</v>
      </c>
      <c r="AK412" s="34">
        <v>0</v>
      </c>
      <c r="AL412" s="53" t="e">
        <f>SUBTOTAL(9,[1]!Table1[[#This Row],[Online Learning]:[Other]])</f>
        <v>#VALUE!</v>
      </c>
      <c r="AM412" s="44">
        <v>5</v>
      </c>
      <c r="AN412" s="44">
        <v>0</v>
      </c>
      <c r="AO412" s="44">
        <v>2</v>
      </c>
      <c r="AP412" s="44">
        <v>2</v>
      </c>
      <c r="AQ412" s="44">
        <v>4</v>
      </c>
      <c r="AR412" s="44">
        <v>0</v>
      </c>
      <c r="AS412" s="44">
        <v>3</v>
      </c>
      <c r="AT412" s="44">
        <v>0</v>
      </c>
      <c r="AU412" s="44">
        <v>0</v>
      </c>
      <c r="AV412" s="45" t="e">
        <f>SUM([1]!Table1[[#This Row],[*Learning Model (Daniel)]:[Other2]])</f>
        <v>#VALUE!</v>
      </c>
      <c r="AW412" s="34">
        <v>0</v>
      </c>
      <c r="AX412" s="34">
        <v>0</v>
      </c>
      <c r="AY412" s="34">
        <v>3</v>
      </c>
    </row>
  </sheetData>
  <conditionalFormatting sqref="AG382:AK382">
    <cfRule type="colorScale" priority="2">
      <colorScale>
        <cfvo type="min"/>
        <cfvo type="max"/>
        <color rgb="FFFCFCFF"/>
        <color rgb="FF63BE7B"/>
      </colorScale>
    </cfRule>
  </conditionalFormatting>
  <conditionalFormatting sqref="AW396:AY410 AX395:AY395 AW2:AY394">
    <cfRule type="colorScale" priority="3">
      <colorScale>
        <cfvo type="min"/>
        <cfvo type="max"/>
        <color rgb="FFFCFCFF"/>
        <color rgb="FF63BE7B"/>
      </colorScale>
    </cfRule>
  </conditionalFormatting>
  <conditionalFormatting sqref="AU411:AU412">
    <cfRule type="colorScale" priority="1">
      <colorScale>
        <cfvo type="min"/>
        <cfvo type="max"/>
        <color rgb="FFFCFCFF"/>
        <color rgb="FF0070C0"/>
      </colorScale>
    </cfRule>
  </conditionalFormatting>
  <conditionalFormatting sqref="AG383:AK410">
    <cfRule type="colorScale" priority="6">
      <colorScale>
        <cfvo type="min"/>
        <cfvo type="max"/>
        <color rgb="FFFCFCFF"/>
        <color rgb="FF63BE7B"/>
      </colorScale>
    </cfRule>
  </conditionalFormatting>
  <conditionalFormatting sqref="AL2:AL38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G2:AK381">
    <cfRule type="colorScale" priority="30">
      <colorScale>
        <cfvo type="min"/>
        <cfvo type="max"/>
        <color rgb="FFFCFCFF"/>
        <color rgb="FF63BE7B"/>
      </colorScale>
    </cfRule>
  </conditionalFormatting>
  <conditionalFormatting sqref="AL2:AL412">
    <cfRule type="colorScale" priority="32">
      <colorScale>
        <cfvo type="min"/>
        <cfvo type="max"/>
        <color rgb="FFFCFCFF"/>
        <color rgb="FF63BE7B"/>
      </colorScale>
    </cfRule>
  </conditionalFormatting>
  <conditionalFormatting sqref="AG2:AK412">
    <cfRule type="colorScale" priority="34">
      <colorScale>
        <cfvo type="min"/>
        <cfvo type="max"/>
        <color rgb="FFFCFCFF"/>
        <color rgb="FF63BE7B"/>
      </colorScale>
    </cfRule>
  </conditionalFormatting>
  <conditionalFormatting sqref="AM2:AU412">
    <cfRule type="colorScale" priority="36">
      <colorScale>
        <cfvo type="min"/>
        <cfvo type="max"/>
        <color rgb="FFFCFCFF"/>
        <color rgb="FF0070C0"/>
      </colorScale>
    </cfRule>
  </conditionalFormatting>
  <conditionalFormatting sqref="AV2:AV412">
    <cfRule type="colorScale" priority="38">
      <colorScale>
        <cfvo type="min"/>
        <cfvo type="max"/>
        <color rgb="FFFCFCFF"/>
        <color rgb="FF0070C0"/>
      </colorScale>
    </cfRule>
  </conditionalFormatting>
  <hyperlinks>
    <hyperlink ref="I394" r:id="rId1"/>
    <hyperlink ref="I366" r:id="rId2"/>
    <hyperlink ref="I406" r:id="rId3"/>
    <hyperlink ref="I388" r:id="rId4"/>
    <hyperlink ref="I395" r:id="rId5"/>
    <hyperlink ref="I385" r:id="rId6"/>
    <hyperlink ref="I409" r:id="rId7"/>
    <hyperlink ref="I382" r:id="rId8"/>
    <hyperlink ref="I358" r:id="rId9"/>
    <hyperlink ref="I410" r:id="rId10"/>
    <hyperlink ref="I359" r:id="rId11"/>
    <hyperlink ref="I404" r:id="rId12"/>
    <hyperlink ref="I381" r:id="rId13"/>
    <hyperlink ref="I403" r:id="rId14"/>
    <hyperlink ref="I374" r:id="rId15"/>
    <hyperlink ref="I396" r:id="rId16"/>
    <hyperlink ref="I411" r:id="rId17"/>
    <hyperlink ref="I400" r:id="rId18"/>
    <hyperlink ref="I361" r:id="rId19"/>
    <hyperlink ref="I390" r:id="rId20"/>
    <hyperlink ref="I367" r:id="rId21"/>
    <hyperlink ref="I362" r:id="rId22"/>
    <hyperlink ref="I398" r:id="rId23"/>
    <hyperlink ref="I369" r:id="rId24"/>
    <hyperlink ref="I405" r:id="rId25"/>
    <hyperlink ref="I375" r:id="rId26"/>
    <hyperlink ref="I372" r:id="rId27"/>
    <hyperlink ref="I370" r:id="rId28"/>
    <hyperlink ref="I387" r:id="rId29"/>
    <hyperlink ref="I397" r:id="rId30"/>
    <hyperlink ref="I408" r:id="rId31"/>
    <hyperlink ref="I383" r:id="rId32"/>
    <hyperlink ref="I371" r:id="rId33"/>
    <hyperlink ref="I360" r:id="rId34"/>
    <hyperlink ref="I393" r:id="rId35"/>
    <hyperlink ref="I399" r:id="rId36"/>
    <hyperlink ref="I380" r:id="rId37"/>
    <hyperlink ref="I392" r:id="rId38"/>
    <hyperlink ref="I407" r:id="rId39"/>
    <hyperlink ref="I365" r:id="rId40"/>
    <hyperlink ref="I2" r:id="rId41"/>
    <hyperlink ref="I379" r:id="rId42"/>
    <hyperlink ref="I391" r:id="rId43"/>
    <hyperlink ref="I376" r:id="rId44"/>
    <hyperlink ref="I389" r:id="rId45"/>
    <hyperlink ref="I373" r:id="rId46"/>
    <hyperlink ref="I401" r:id="rId47"/>
    <hyperlink ref="I412" r:id="rId48"/>
    <hyperlink ref="J398" r:id="rId49"/>
    <hyperlink ref="J375" r:id="rId50"/>
    <hyperlink ref="J359" r:id="rId51"/>
    <hyperlink ref="J360" r:id="rId52"/>
    <hyperlink ref="J361" r:id="rId53"/>
    <hyperlink ref="J362" r:id="rId54"/>
    <hyperlink ref="J365" r:id="rId55"/>
    <hyperlink ref="J366" r:id="rId56"/>
    <hyperlink ref="J367" r:id="rId57"/>
    <hyperlink ref="J369" r:id="rId58"/>
    <hyperlink ref="J370" r:id="rId59"/>
    <hyperlink ref="J371" r:id="rId60"/>
    <hyperlink ref="J372" r:id="rId61"/>
    <hyperlink ref="J373" r:id="rId62"/>
    <hyperlink ref="J374" r:id="rId63"/>
    <hyperlink ref="J376" r:id="rId64"/>
    <hyperlink ref="J379" r:id="rId65"/>
    <hyperlink ref="J380" r:id="rId66"/>
    <hyperlink ref="J381" r:id="rId67"/>
    <hyperlink ref="J382" r:id="rId68"/>
    <hyperlink ref="J383" r:id="rId69"/>
    <hyperlink ref="J385" r:id="rId70"/>
    <hyperlink ref="J387" r:id="rId71"/>
    <hyperlink ref="J388" r:id="rId72"/>
    <hyperlink ref="J389" r:id="rId73"/>
    <hyperlink ref="J390" r:id="rId74"/>
    <hyperlink ref="J391" r:id="rId75"/>
    <hyperlink ref="J392" r:id="rId76"/>
    <hyperlink ref="J393" r:id="rId77"/>
    <hyperlink ref="J394" r:id="rId78"/>
    <hyperlink ref="J395" r:id="rId79"/>
    <hyperlink ref="J396" r:id="rId80"/>
    <hyperlink ref="J397" r:id="rId81"/>
    <hyperlink ref="J399" r:id="rId82"/>
    <hyperlink ref="J400" r:id="rId83"/>
    <hyperlink ref="J401" r:id="rId84"/>
    <hyperlink ref="J403" r:id="rId85"/>
    <hyperlink ref="J404" r:id="rId86"/>
    <hyperlink ref="J405" r:id="rId87"/>
    <hyperlink ref="J406" r:id="rId88"/>
    <hyperlink ref="J407" r:id="rId89"/>
    <hyperlink ref="J408" r:id="rId90"/>
    <hyperlink ref="J409" r:id="rId91"/>
    <hyperlink ref="J410" r:id="rId92"/>
    <hyperlink ref="J411" r:id="rId93"/>
    <hyperlink ref="J412" r:id="rId94"/>
  </hyperlinks>
  <pageMargins left="0.7" right="0.7" top="0.75" bottom="0.75" header="0.3" footer="0.3"/>
  <pageSetup orientation="portrait" r:id="rId95"/>
  <tableParts count="1">
    <tablePart r:id="rId9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'[Projects and Products List.xlsx]DropDowns'!#REF!</xm:f>
          </x14:formula1>
          <xm:sqref>N2:N412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O2:O412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T2:T412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L2:L412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Q2:Q412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P2:P412</xm:sqref>
        </x14:dataValidation>
        <x14:dataValidation type="list" allowBlank="1" showInputMessage="1" showErrorMessage="1">
          <x14:formula1>
            <xm:f>'[Projects and Products List.xlsx]DropDowns'!#REF!</xm:f>
          </x14:formula1>
          <xm:sqref>M2:M412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4"/>
  <sheetViews>
    <sheetView workbookViewId="0">
      <selection activeCell="H20" sqref="H20"/>
    </sheetView>
  </sheetViews>
  <sheetFormatPr defaultRowHeight="15"/>
  <cols>
    <col min="1" max="1" width="20.42578125" bestFit="1" customWidth="1"/>
    <col min="2" max="2" width="20.42578125" customWidth="1"/>
    <col min="3" max="4" width="9.5703125" customWidth="1"/>
    <col min="5" max="5" width="13" customWidth="1"/>
    <col min="6" max="6" width="10.85546875" bestFit="1" customWidth="1"/>
    <col min="12" max="12" width="21.140625" customWidth="1"/>
    <col min="15" max="15" width="11.28515625" customWidth="1"/>
    <col min="18" max="18" width="20" customWidth="1"/>
    <col min="19" max="19" width="8" customWidth="1"/>
    <col min="20" max="20" width="11" bestFit="1" customWidth="1"/>
    <col min="21" max="21" width="10" bestFit="1" customWidth="1"/>
    <col min="22" max="22" width="8.5703125" customWidth="1"/>
    <col min="23" max="23" width="7.7109375" customWidth="1"/>
    <col min="24" max="24" width="11" bestFit="1" customWidth="1"/>
    <col min="25" max="25" width="10" bestFit="1" customWidth="1"/>
    <col min="26" max="26" width="8.5703125" customWidth="1"/>
    <col min="27" max="27" width="9.7109375" bestFit="1" customWidth="1"/>
    <col min="28" max="28" width="7.7109375" customWidth="1"/>
    <col min="29" max="29" width="11" bestFit="1" customWidth="1"/>
    <col min="30" max="30" width="10.28515625" bestFit="1" customWidth="1"/>
    <col min="31" max="31" width="9.7109375" bestFit="1" customWidth="1"/>
    <col min="32" max="32" width="7.7109375" customWidth="1"/>
    <col min="33" max="33" width="11" bestFit="1" customWidth="1"/>
    <col min="34" max="34" width="10.85546875" bestFit="1" customWidth="1"/>
    <col min="35" max="35" width="7.7109375" customWidth="1"/>
    <col min="36" max="36" width="9.85546875" bestFit="1" customWidth="1"/>
    <col min="37" max="37" width="10" bestFit="1" customWidth="1"/>
  </cols>
  <sheetData>
    <row r="1" spans="1:21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/>
      <c r="L1" s="5" t="s">
        <v>18</v>
      </c>
      <c r="M1" s="5"/>
      <c r="N1" s="5"/>
      <c r="O1" s="5"/>
      <c r="P1" s="5"/>
      <c r="R1" s="5" t="s">
        <v>19</v>
      </c>
      <c r="U1" s="5" t="s">
        <v>20</v>
      </c>
    </row>
    <row r="2" spans="1:21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>
        <v>2013</v>
      </c>
      <c r="L2" t="s">
        <v>30</v>
      </c>
      <c r="M2" t="e">
        <f>[1]!Table1[[#Totals],[Online Learning]]</f>
        <v>#REF!</v>
      </c>
      <c r="R2" t="s">
        <v>31</v>
      </c>
      <c r="S2">
        <f>SUBTOTAL(109,[1]!Table1[CO])</f>
        <v>0</v>
      </c>
      <c r="U2" t="s">
        <v>32</v>
      </c>
    </row>
    <row r="3" spans="1:21">
      <c r="A3" t="s">
        <v>33</v>
      </c>
      <c r="B3" t="s">
        <v>34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2014</v>
      </c>
      <c r="L3" t="s">
        <v>42</v>
      </c>
      <c r="M3" t="e">
        <f>[1]!Table1[[#Totals],[CurrDev]]</f>
        <v>#REF!</v>
      </c>
      <c r="R3" t="s">
        <v>43</v>
      </c>
      <c r="S3">
        <f>SUBTOTAL(109,[1]!Table1[EH])</f>
        <v>0</v>
      </c>
      <c r="U3" t="s">
        <v>44</v>
      </c>
    </row>
    <row r="4" spans="1:21">
      <c r="A4" t="s">
        <v>42</v>
      </c>
      <c r="B4" t="s">
        <v>45</v>
      </c>
      <c r="C4" t="s">
        <v>46</v>
      </c>
      <c r="D4" t="s">
        <v>47</v>
      </c>
      <c r="E4" t="s">
        <v>48</v>
      </c>
      <c r="F4" t="s">
        <v>0</v>
      </c>
      <c r="G4" t="s">
        <v>49</v>
      </c>
      <c r="H4" t="s">
        <v>50</v>
      </c>
      <c r="I4" t="s">
        <v>51</v>
      </c>
      <c r="J4">
        <v>2015</v>
      </c>
      <c r="L4" t="s">
        <v>21</v>
      </c>
      <c r="M4" t="e">
        <f>[1]!Table1[[#Totals],[PW]]</f>
        <v>#REF!</v>
      </c>
      <c r="R4" t="s">
        <v>52</v>
      </c>
      <c r="S4">
        <f>SUBTOTAL(109,[1]!Table1[AB])</f>
        <v>200</v>
      </c>
      <c r="U4" t="s">
        <v>49</v>
      </c>
    </row>
    <row r="5" spans="1:21">
      <c r="A5" t="s">
        <v>30</v>
      </c>
      <c r="B5" t="s">
        <v>53</v>
      </c>
      <c r="C5" t="s">
        <v>1</v>
      </c>
      <c r="D5" t="s">
        <v>54</v>
      </c>
      <c r="E5" t="s">
        <v>55</v>
      </c>
      <c r="F5" t="s">
        <v>56</v>
      </c>
      <c r="G5" t="s">
        <v>57</v>
      </c>
      <c r="I5" t="s">
        <v>58</v>
      </c>
      <c r="J5">
        <v>2016</v>
      </c>
      <c r="L5" t="s">
        <v>59</v>
      </c>
      <c r="M5" t="e">
        <f>[1]!Table1[[#Totals],[Campus]]</f>
        <v>#REF!</v>
      </c>
      <c r="R5" t="s">
        <v>60</v>
      </c>
      <c r="S5">
        <f>SUBTOTAL(109,[1]!Table1[JH])</f>
        <v>270</v>
      </c>
      <c r="U5" t="s">
        <v>61</v>
      </c>
    </row>
    <row r="6" spans="1:21">
      <c r="A6" t="s">
        <v>62</v>
      </c>
      <c r="B6" t="s">
        <v>63</v>
      </c>
      <c r="C6" t="s">
        <v>64</v>
      </c>
      <c r="E6" t="s">
        <v>65</v>
      </c>
      <c r="F6" t="s">
        <v>66</v>
      </c>
      <c r="G6" t="s">
        <v>32</v>
      </c>
      <c r="I6" t="s">
        <v>67</v>
      </c>
      <c r="J6">
        <v>2017</v>
      </c>
      <c r="L6" t="s">
        <v>68</v>
      </c>
      <c r="M6" t="e">
        <f>[1]!Table1[[#Totals],[Other]]</f>
        <v>#REF!</v>
      </c>
      <c r="R6" t="s">
        <v>69</v>
      </c>
      <c r="S6">
        <f>SUBTOTAL(109,[1]!Table1[SW])</f>
        <v>30</v>
      </c>
      <c r="U6" t="s">
        <v>70</v>
      </c>
    </row>
    <row r="7" spans="1:21">
      <c r="A7" t="s">
        <v>71</v>
      </c>
      <c r="B7" t="s">
        <v>72</v>
      </c>
      <c r="C7" t="s">
        <v>73</v>
      </c>
      <c r="E7" t="s">
        <v>74</v>
      </c>
      <c r="I7" t="s">
        <v>75</v>
      </c>
      <c r="J7">
        <v>2018</v>
      </c>
      <c r="R7" t="s">
        <v>76</v>
      </c>
      <c r="S7">
        <f>SUBTOTAL(109,[1]!Table1[DB])</f>
        <v>220</v>
      </c>
    </row>
    <row r="8" spans="1:21">
      <c r="A8" t="s">
        <v>77</v>
      </c>
      <c r="C8" t="s">
        <v>78</v>
      </c>
      <c r="E8" t="s">
        <v>79</v>
      </c>
      <c r="I8" t="s">
        <v>80</v>
      </c>
      <c r="R8" t="s">
        <v>81</v>
      </c>
      <c r="S8">
        <f>SUBTOTAL(109,[1]!Table1[CH])</f>
        <v>450</v>
      </c>
    </row>
    <row r="9" spans="1:21">
      <c r="A9" t="s">
        <v>82</v>
      </c>
      <c r="C9" t="s">
        <v>83</v>
      </c>
      <c r="E9" t="s">
        <v>84</v>
      </c>
      <c r="I9" t="s">
        <v>85</v>
      </c>
    </row>
    <row r="10" spans="1:21">
      <c r="A10" t="s">
        <v>68</v>
      </c>
      <c r="C10" t="s">
        <v>86</v>
      </c>
      <c r="I10" t="s">
        <v>87</v>
      </c>
    </row>
    <row r="11" spans="1:21">
      <c r="C11" t="s">
        <v>88</v>
      </c>
      <c r="I11" t="s">
        <v>89</v>
      </c>
    </row>
    <row r="12" spans="1:21">
      <c r="C12" t="s">
        <v>90</v>
      </c>
      <c r="I12" t="s">
        <v>91</v>
      </c>
      <c r="R12" s="6"/>
    </row>
    <row r="13" spans="1:21">
      <c r="C13" t="s">
        <v>92</v>
      </c>
      <c r="I13" t="s">
        <v>93</v>
      </c>
      <c r="R13" s="6"/>
    </row>
    <row r="14" spans="1:21">
      <c r="R14" s="6"/>
    </row>
    <row r="15" spans="1:21">
      <c r="R15" s="6"/>
    </row>
    <row r="16" spans="1:21">
      <c r="R16" s="6"/>
    </row>
    <row r="17" spans="18:18">
      <c r="R17" s="6"/>
    </row>
    <row r="18" spans="18:18">
      <c r="R18" s="6"/>
    </row>
    <row r="19" spans="18:18">
      <c r="R19" s="6"/>
    </row>
    <row r="20" spans="18:18">
      <c r="R20" s="6"/>
    </row>
    <row r="21" spans="18:18">
      <c r="R21" s="6"/>
    </row>
    <row r="22" spans="18:18">
      <c r="R22" s="6"/>
    </row>
    <row r="23" spans="18:18">
      <c r="R23" s="6"/>
    </row>
    <row r="24" spans="18:18">
      <c r="R24" s="6"/>
    </row>
    <row r="25" spans="18:18">
      <c r="R25" s="6"/>
    </row>
    <row r="26" spans="18:18">
      <c r="R26" s="6"/>
    </row>
    <row r="27" spans="18:18">
      <c r="R27" s="6"/>
    </row>
    <row r="28" spans="18:18">
      <c r="R28" s="6"/>
    </row>
    <row r="29" spans="18:18">
      <c r="R29" s="6"/>
    </row>
    <row r="30" spans="18:18">
      <c r="R30" s="6"/>
    </row>
    <row r="31" spans="18:18">
      <c r="R31" s="6"/>
    </row>
    <row r="32" spans="18:18">
      <c r="R32" s="6"/>
    </row>
    <row r="33" spans="18:18">
      <c r="R33" s="6"/>
    </row>
    <row r="34" spans="18:18">
      <c r="R3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5"/>
  <sheetViews>
    <sheetView workbookViewId="0">
      <selection activeCell="O34" sqref="O34"/>
    </sheetView>
  </sheetViews>
  <sheetFormatPr defaultRowHeight="15"/>
  <cols>
    <col min="1" max="1" width="40.5703125" customWidth="1"/>
    <col min="2" max="2" width="35" customWidth="1"/>
    <col min="3" max="3" width="14" customWidth="1"/>
    <col min="4" max="7" width="15.140625" customWidth="1"/>
    <col min="8" max="8" width="18" customWidth="1"/>
    <col min="9" max="9" width="23.140625" customWidth="1"/>
  </cols>
  <sheetData>
    <row r="1" spans="1:9" ht="45">
      <c r="A1" s="7" t="s">
        <v>149</v>
      </c>
      <c r="B1" s="8" t="s">
        <v>150</v>
      </c>
      <c r="C1" s="7" t="s">
        <v>11</v>
      </c>
      <c r="D1" s="7" t="s">
        <v>151</v>
      </c>
      <c r="E1" s="7" t="s">
        <v>152</v>
      </c>
      <c r="F1" s="9" t="s">
        <v>153</v>
      </c>
      <c r="G1" s="7" t="s">
        <v>154</v>
      </c>
      <c r="H1" s="10" t="s">
        <v>155</v>
      </c>
      <c r="I1" s="7" t="s">
        <v>156</v>
      </c>
    </row>
    <row r="2" spans="1:9" ht="30" hidden="1">
      <c r="A2" s="11" t="s">
        <v>94</v>
      </c>
      <c r="B2" s="8" t="s">
        <v>95</v>
      </c>
      <c r="C2" s="7" t="s">
        <v>53</v>
      </c>
      <c r="D2" s="12" t="s">
        <v>1</v>
      </c>
      <c r="E2" s="12" t="s">
        <v>96</v>
      </c>
      <c r="F2" s="13">
        <v>1</v>
      </c>
      <c r="G2" s="12" t="s">
        <v>56</v>
      </c>
      <c r="H2" s="14">
        <v>42802</v>
      </c>
    </row>
    <row r="3" spans="1:9" ht="60" hidden="1">
      <c r="A3" s="11" t="s">
        <v>97</v>
      </c>
      <c r="B3" s="8" t="s">
        <v>98</v>
      </c>
      <c r="C3" s="7" t="s">
        <v>24</v>
      </c>
      <c r="D3" s="12" t="s">
        <v>37</v>
      </c>
      <c r="E3" s="12" t="s">
        <v>37</v>
      </c>
      <c r="F3" s="13">
        <v>1</v>
      </c>
      <c r="G3" s="15" t="s">
        <v>99</v>
      </c>
      <c r="H3" s="14"/>
    </row>
    <row r="4" spans="1:9" ht="45" hidden="1">
      <c r="A4" s="11" t="s">
        <v>100</v>
      </c>
      <c r="B4" s="8" t="s">
        <v>101</v>
      </c>
      <c r="C4" s="7" t="s">
        <v>24</v>
      </c>
      <c r="D4" s="12" t="s">
        <v>37</v>
      </c>
      <c r="E4" s="12" t="s">
        <v>37</v>
      </c>
      <c r="F4" s="13">
        <v>1</v>
      </c>
      <c r="G4" s="12" t="s">
        <v>99</v>
      </c>
      <c r="H4" s="14"/>
    </row>
    <row r="5" spans="1:9" ht="30" hidden="1">
      <c r="A5" s="11" t="s">
        <v>102</v>
      </c>
      <c r="B5" s="8" t="s">
        <v>103</v>
      </c>
      <c r="C5" s="7" t="s">
        <v>24</v>
      </c>
      <c r="D5" s="12" t="s">
        <v>37</v>
      </c>
      <c r="E5" s="12" t="s">
        <v>37</v>
      </c>
      <c r="F5" s="13">
        <v>1</v>
      </c>
      <c r="G5" s="12" t="s">
        <v>56</v>
      </c>
      <c r="H5" s="14"/>
    </row>
    <row r="6" spans="1:9" ht="30" hidden="1">
      <c r="A6" s="11" t="s">
        <v>104</v>
      </c>
      <c r="B6" s="8" t="s">
        <v>105</v>
      </c>
      <c r="C6" s="7" t="s">
        <v>24</v>
      </c>
      <c r="D6" s="12" t="s">
        <v>37</v>
      </c>
      <c r="E6" s="12" t="s">
        <v>37</v>
      </c>
      <c r="F6" s="13">
        <v>1</v>
      </c>
      <c r="G6" s="12" t="s">
        <v>99</v>
      </c>
      <c r="H6" s="14"/>
    </row>
    <row r="7" spans="1:9" ht="45">
      <c r="A7" s="11" t="s">
        <v>106</v>
      </c>
      <c r="B7" s="8" t="s">
        <v>107</v>
      </c>
      <c r="C7" s="7" t="s">
        <v>24</v>
      </c>
      <c r="D7" s="12" t="s">
        <v>108</v>
      </c>
      <c r="E7" s="12" t="s">
        <v>25</v>
      </c>
      <c r="F7" s="13">
        <v>3</v>
      </c>
      <c r="G7" s="15" t="s">
        <v>99</v>
      </c>
      <c r="H7" s="14"/>
    </row>
    <row r="8" spans="1:9" ht="30">
      <c r="A8" s="11" t="s">
        <v>109</v>
      </c>
      <c r="B8" s="8" t="s">
        <v>110</v>
      </c>
      <c r="C8" s="7" t="s">
        <v>24</v>
      </c>
      <c r="D8" s="12" t="s">
        <v>25</v>
      </c>
      <c r="E8" s="12" t="s">
        <v>25</v>
      </c>
      <c r="F8" s="13">
        <v>3</v>
      </c>
      <c r="G8" s="12" t="s">
        <v>56</v>
      </c>
      <c r="H8" s="14">
        <v>42947</v>
      </c>
      <c r="I8" s="14">
        <v>43312</v>
      </c>
    </row>
    <row r="9" spans="1:9" ht="30">
      <c r="A9" s="11" t="s">
        <v>111</v>
      </c>
      <c r="B9" s="8" t="s">
        <v>112</v>
      </c>
      <c r="C9" s="7" t="s">
        <v>24</v>
      </c>
      <c r="D9" s="12" t="s">
        <v>25</v>
      </c>
      <c r="E9" s="12" t="s">
        <v>25</v>
      </c>
      <c r="F9" s="13">
        <v>1</v>
      </c>
      <c r="G9" s="12" t="s">
        <v>99</v>
      </c>
      <c r="H9" s="14"/>
    </row>
    <row r="10" spans="1:9">
      <c r="A10" s="11" t="s">
        <v>113</v>
      </c>
      <c r="B10" s="8" t="s">
        <v>114</v>
      </c>
      <c r="C10" s="7" t="s">
        <v>24</v>
      </c>
      <c r="D10" s="12" t="s">
        <v>25</v>
      </c>
      <c r="E10" s="12" t="s">
        <v>25</v>
      </c>
      <c r="F10" s="13">
        <v>1</v>
      </c>
      <c r="G10" s="12" t="s">
        <v>99</v>
      </c>
      <c r="H10" s="14"/>
    </row>
    <row r="11" spans="1:9" ht="45" hidden="1">
      <c r="A11" s="11" t="s">
        <v>115</v>
      </c>
      <c r="B11" s="8" t="s">
        <v>116</v>
      </c>
      <c r="C11" s="7" t="s">
        <v>24</v>
      </c>
      <c r="D11" s="12" t="s">
        <v>108</v>
      </c>
      <c r="E11" s="12" t="s">
        <v>48</v>
      </c>
      <c r="F11" s="13">
        <v>1</v>
      </c>
      <c r="G11" s="12" t="s">
        <v>99</v>
      </c>
      <c r="H11" s="14"/>
      <c r="I11" t="s">
        <v>117</v>
      </c>
    </row>
    <row r="12" spans="1:9" ht="45" hidden="1">
      <c r="A12" s="11" t="s">
        <v>118</v>
      </c>
      <c r="B12" s="8" t="s">
        <v>119</v>
      </c>
      <c r="C12" s="7" t="s">
        <v>24</v>
      </c>
      <c r="D12" s="12" t="s">
        <v>108</v>
      </c>
      <c r="E12" s="12" t="s">
        <v>48</v>
      </c>
      <c r="F12" s="13">
        <v>1</v>
      </c>
      <c r="G12" s="16" t="s">
        <v>56</v>
      </c>
      <c r="H12" s="14">
        <v>42821</v>
      </c>
    </row>
    <row r="13" spans="1:9" ht="30" hidden="1">
      <c r="A13" s="11" t="s">
        <v>120</v>
      </c>
      <c r="B13" s="8" t="s">
        <v>121</v>
      </c>
      <c r="C13" s="7" t="s">
        <v>24</v>
      </c>
      <c r="D13" s="12" t="s">
        <v>37</v>
      </c>
      <c r="E13" s="12" t="s">
        <v>48</v>
      </c>
      <c r="F13" s="13">
        <v>1</v>
      </c>
      <c r="G13" s="12" t="s">
        <v>56</v>
      </c>
      <c r="H13" s="14"/>
    </row>
    <row r="14" spans="1:9" ht="45" hidden="1">
      <c r="A14" s="11" t="s">
        <v>122</v>
      </c>
      <c r="B14" s="8" t="s">
        <v>123</v>
      </c>
      <c r="C14" s="7" t="s">
        <v>24</v>
      </c>
      <c r="D14" s="12" t="s">
        <v>48</v>
      </c>
      <c r="E14" s="12" t="s">
        <v>48</v>
      </c>
      <c r="F14" s="13">
        <v>1</v>
      </c>
      <c r="G14" s="12" t="s">
        <v>56</v>
      </c>
      <c r="H14" s="14"/>
    </row>
    <row r="15" spans="1:9" ht="60" hidden="1">
      <c r="A15" s="11" t="s">
        <v>124</v>
      </c>
      <c r="B15" s="8" t="s">
        <v>125</v>
      </c>
      <c r="C15" s="7" t="s">
        <v>24</v>
      </c>
      <c r="D15" s="12" t="s">
        <v>37</v>
      </c>
      <c r="E15" s="12" t="s">
        <v>126</v>
      </c>
      <c r="F15" s="13">
        <v>1</v>
      </c>
      <c r="G15" s="12" t="s">
        <v>56</v>
      </c>
      <c r="H15" s="14"/>
    </row>
    <row r="16" spans="1:9" ht="45" hidden="1">
      <c r="A16" s="11" t="s">
        <v>127</v>
      </c>
      <c r="B16" s="8" t="s">
        <v>128</v>
      </c>
      <c r="C16" s="7" t="s">
        <v>24</v>
      </c>
      <c r="D16" s="12" t="s">
        <v>37</v>
      </c>
      <c r="E16" s="12" t="s">
        <v>126</v>
      </c>
      <c r="F16" s="13">
        <v>2</v>
      </c>
      <c r="G16" s="12" t="s">
        <v>99</v>
      </c>
      <c r="H16" s="14"/>
    </row>
    <row r="17" spans="1:9" ht="30">
      <c r="A17" s="11" t="s">
        <v>129</v>
      </c>
      <c r="B17" s="8" t="s">
        <v>130</v>
      </c>
      <c r="C17" s="7" t="s">
        <v>24</v>
      </c>
      <c r="D17" s="12" t="s">
        <v>25</v>
      </c>
      <c r="E17" s="12" t="s">
        <v>25</v>
      </c>
      <c r="F17" s="13">
        <v>1</v>
      </c>
      <c r="G17" s="12" t="s">
        <v>99</v>
      </c>
      <c r="H17" s="14"/>
    </row>
    <row r="18" spans="1:9" ht="60" hidden="1">
      <c r="A18" s="11" t="s">
        <v>131</v>
      </c>
      <c r="B18" s="8" t="s">
        <v>132</v>
      </c>
      <c r="C18" s="7" t="s">
        <v>54</v>
      </c>
      <c r="D18" s="12"/>
      <c r="E18" s="12" t="s">
        <v>1483</v>
      </c>
      <c r="F18" s="17">
        <v>3</v>
      </c>
      <c r="G18" s="12" t="s">
        <v>99</v>
      </c>
      <c r="H18" s="14"/>
      <c r="I18" s="18" t="s">
        <v>134</v>
      </c>
    </row>
    <row r="19" spans="1:9" ht="30" hidden="1">
      <c r="A19" s="11" t="s">
        <v>135</v>
      </c>
      <c r="B19" s="8" t="s">
        <v>136</v>
      </c>
      <c r="C19" s="7" t="s">
        <v>36</v>
      </c>
      <c r="D19" s="12"/>
      <c r="E19" s="12" t="s">
        <v>55</v>
      </c>
      <c r="F19" s="17">
        <v>1</v>
      </c>
      <c r="G19" s="12"/>
      <c r="H19" s="14"/>
    </row>
    <row r="20" spans="1:9" ht="30">
      <c r="A20" s="19" t="s">
        <v>137</v>
      </c>
      <c r="B20" s="8" t="s">
        <v>138</v>
      </c>
      <c r="C20" s="7" t="s">
        <v>24</v>
      </c>
      <c r="D20" s="12"/>
      <c r="E20" s="12" t="s">
        <v>25</v>
      </c>
      <c r="F20" s="17"/>
      <c r="G20" s="12" t="s">
        <v>99</v>
      </c>
      <c r="H20" s="14"/>
    </row>
    <row r="21" spans="1:9" ht="60" hidden="1">
      <c r="A21" s="19" t="s">
        <v>139</v>
      </c>
      <c r="B21" s="8" t="s">
        <v>140</v>
      </c>
      <c r="C21" s="7" t="s">
        <v>24</v>
      </c>
      <c r="D21" s="12"/>
      <c r="E21" s="12" t="s">
        <v>37</v>
      </c>
      <c r="F21" s="17"/>
      <c r="G21" s="12" t="s">
        <v>99</v>
      </c>
      <c r="H21" s="14"/>
      <c r="I21" s="18" t="s">
        <v>141</v>
      </c>
    </row>
    <row r="22" spans="1:9" ht="30" hidden="1">
      <c r="A22" s="19" t="s">
        <v>142</v>
      </c>
      <c r="B22" s="8" t="s">
        <v>143</v>
      </c>
      <c r="C22" s="7" t="s">
        <v>24</v>
      </c>
      <c r="D22" s="12"/>
      <c r="E22" s="12" t="s">
        <v>133</v>
      </c>
      <c r="F22" s="17"/>
      <c r="G22" s="12" t="s">
        <v>99</v>
      </c>
      <c r="H22" s="14"/>
    </row>
    <row r="23" spans="1:9" ht="30" hidden="1">
      <c r="A23" s="19" t="s">
        <v>144</v>
      </c>
      <c r="B23" s="8" t="s">
        <v>145</v>
      </c>
      <c r="C23" s="7" t="s">
        <v>24</v>
      </c>
      <c r="D23" s="12"/>
      <c r="E23" s="12" t="s">
        <v>48</v>
      </c>
      <c r="F23" s="17"/>
      <c r="G23" s="12" t="s">
        <v>99</v>
      </c>
      <c r="H23" s="14"/>
    </row>
    <row r="24" spans="1:9" ht="30" hidden="1">
      <c r="A24" s="19" t="s">
        <v>146</v>
      </c>
      <c r="B24" s="8" t="s">
        <v>147</v>
      </c>
      <c r="C24" s="7" t="s">
        <v>24</v>
      </c>
      <c r="D24" s="12"/>
      <c r="E24" s="12" t="s">
        <v>1</v>
      </c>
      <c r="F24" s="17"/>
      <c r="G24" s="12" t="s">
        <v>99</v>
      </c>
      <c r="H24" s="14"/>
    </row>
    <row r="25" spans="1:9" ht="30" hidden="1">
      <c r="A25" s="11" t="s">
        <v>148</v>
      </c>
      <c r="B25" s="8" t="s">
        <v>1484</v>
      </c>
      <c r="C25" s="7" t="s">
        <v>54</v>
      </c>
      <c r="D25" s="12"/>
      <c r="E25" s="12" t="s">
        <v>74</v>
      </c>
      <c r="F25" s="17">
        <v>3</v>
      </c>
      <c r="G25" s="12" t="s">
        <v>99</v>
      </c>
      <c r="H25" s="14"/>
    </row>
  </sheetData>
  <hyperlinks>
    <hyperlink ref="A14" r:id="rId1"/>
    <hyperlink ref="A15" r:id="rId2"/>
    <hyperlink ref="A5" r:id="rId3"/>
    <hyperlink ref="A7" r:id="rId4"/>
    <hyperlink ref="A2" r:id="rId5"/>
    <hyperlink ref="A13" r:id="rId6"/>
    <hyperlink ref="A3" r:id="rId7"/>
    <hyperlink ref="A8" r:id="rId8"/>
    <hyperlink ref="A11" r:id="rId9"/>
    <hyperlink ref="A12" r:id="rId10"/>
    <hyperlink ref="A4" r:id="rId11"/>
    <hyperlink ref="A6" r:id="rId12"/>
    <hyperlink ref="A17" r:id="rId13"/>
    <hyperlink ref="A9" r:id="rId14"/>
    <hyperlink ref="A10" r:id="rId15"/>
    <hyperlink ref="A16" r:id="rId16"/>
    <hyperlink ref="A18" r:id="rId17"/>
    <hyperlink ref="A19" r:id="rId18"/>
    <hyperlink ref="A25" r:id="rId19"/>
  </hyperlinks>
  <pageMargins left="0.7" right="0.7" top="0.75" bottom="0.75" header="0.3" footer="0.3"/>
  <tableParts count="1"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79"/>
  <sheetViews>
    <sheetView topLeftCell="A67" workbookViewId="0">
      <selection activeCell="C386" sqref="C386"/>
    </sheetView>
  </sheetViews>
  <sheetFormatPr defaultRowHeight="15.75"/>
  <cols>
    <col min="1" max="1" width="21" bestFit="1" customWidth="1"/>
    <col min="2" max="2" width="29" bestFit="1" customWidth="1"/>
    <col min="4" max="4" width="29" bestFit="1" customWidth="1"/>
    <col min="5" max="5" width="38.28515625" customWidth="1"/>
    <col min="6" max="6" width="31.7109375" customWidth="1"/>
    <col min="7" max="7" width="66" style="3" customWidth="1"/>
  </cols>
  <sheetData>
    <row r="1" spans="1:8" ht="15">
      <c r="A1" t="s">
        <v>890</v>
      </c>
      <c r="B1" t="s">
        <v>275</v>
      </c>
      <c r="C1" t="b">
        <v>0</v>
      </c>
      <c r="D1" t="s">
        <v>891</v>
      </c>
      <c r="E1" t="s">
        <v>276</v>
      </c>
      <c r="F1" t="s">
        <v>277</v>
      </c>
      <c r="G1" s="59"/>
    </row>
    <row r="2" spans="1:8">
      <c r="A2" t="s">
        <v>890</v>
      </c>
      <c r="B2" s="54" t="s">
        <v>278</v>
      </c>
      <c r="C2" t="b">
        <v>0</v>
      </c>
      <c r="D2" t="s">
        <v>891</v>
      </c>
      <c r="E2" t="s">
        <v>279</v>
      </c>
      <c r="F2" t="s">
        <v>280</v>
      </c>
      <c r="G2" s="59"/>
      <c r="H2" s="1"/>
    </row>
    <row r="3" spans="1:8">
      <c r="A3" t="s">
        <v>890</v>
      </c>
      <c r="B3" t="s">
        <v>281</v>
      </c>
      <c r="C3" t="b">
        <v>0</v>
      </c>
      <c r="D3" t="s">
        <v>891</v>
      </c>
      <c r="E3" t="s">
        <v>282</v>
      </c>
      <c r="F3" t="s">
        <v>283</v>
      </c>
      <c r="G3" s="33"/>
      <c r="H3" s="1"/>
    </row>
    <row r="4" spans="1:8">
      <c r="A4" s="1" t="s">
        <v>890</v>
      </c>
      <c r="B4" s="2" t="s">
        <v>284</v>
      </c>
      <c r="C4" s="1" t="b">
        <v>0</v>
      </c>
      <c r="D4" s="1" t="s">
        <v>891</v>
      </c>
      <c r="E4" s="1" t="s">
        <v>285</v>
      </c>
      <c r="F4" s="1" t="s">
        <v>286</v>
      </c>
      <c r="G4" s="67" t="s">
        <v>76</v>
      </c>
      <c r="H4" s="54"/>
    </row>
    <row r="5" spans="1:8">
      <c r="A5" t="s">
        <v>890</v>
      </c>
      <c r="B5" t="s">
        <v>288</v>
      </c>
      <c r="C5" t="b">
        <v>0</v>
      </c>
      <c r="D5" t="s">
        <v>891</v>
      </c>
      <c r="E5" t="s">
        <v>289</v>
      </c>
      <c r="F5" t="s">
        <v>290</v>
      </c>
      <c r="G5" s="33"/>
      <c r="H5" s="1"/>
    </row>
    <row r="6" spans="1:8" ht="15">
      <c r="A6" t="s">
        <v>890</v>
      </c>
      <c r="B6" s="54" t="s">
        <v>291</v>
      </c>
      <c r="C6" t="b">
        <v>0</v>
      </c>
      <c r="D6" t="s">
        <v>891</v>
      </c>
      <c r="E6" t="s">
        <v>292</v>
      </c>
      <c r="F6" t="s">
        <v>293</v>
      </c>
      <c r="G6" s="67" t="s">
        <v>916</v>
      </c>
    </row>
    <row r="7" spans="1:8">
      <c r="A7" t="s">
        <v>890</v>
      </c>
      <c r="B7" t="s">
        <v>294</v>
      </c>
      <c r="C7" t="b">
        <v>0</v>
      </c>
      <c r="D7" t="s">
        <v>891</v>
      </c>
      <c r="E7" t="s">
        <v>295</v>
      </c>
      <c r="F7" t="s">
        <v>296</v>
      </c>
      <c r="G7" s="48"/>
      <c r="H7" s="1"/>
    </row>
    <row r="8" spans="1:8">
      <c r="A8" t="s">
        <v>890</v>
      </c>
      <c r="B8" t="s">
        <v>297</v>
      </c>
      <c r="C8" t="b">
        <v>0</v>
      </c>
      <c r="D8" t="s">
        <v>891</v>
      </c>
      <c r="E8" t="s">
        <v>298</v>
      </c>
      <c r="F8" t="s">
        <v>299</v>
      </c>
      <c r="G8" s="60"/>
      <c r="H8" s="1"/>
    </row>
    <row r="9" spans="1:8" ht="15">
      <c r="A9" t="s">
        <v>890</v>
      </c>
      <c r="B9" t="s">
        <v>300</v>
      </c>
      <c r="C9" t="b">
        <v>0</v>
      </c>
      <c r="D9" t="s">
        <v>891</v>
      </c>
      <c r="E9" t="s">
        <v>301</v>
      </c>
      <c r="F9" t="s">
        <v>302</v>
      </c>
      <c r="G9" s="33" t="s">
        <v>76</v>
      </c>
    </row>
    <row r="10" spans="1:8" ht="15">
      <c r="A10" t="s">
        <v>890</v>
      </c>
      <c r="B10" t="s">
        <v>303</v>
      </c>
      <c r="C10" t="b">
        <v>0</v>
      </c>
      <c r="D10" t="s">
        <v>891</v>
      </c>
      <c r="E10" t="s">
        <v>304</v>
      </c>
      <c r="F10" t="s">
        <v>305</v>
      </c>
      <c r="G10" s="68" t="s">
        <v>925</v>
      </c>
    </row>
    <row r="11" spans="1:8" ht="15">
      <c r="A11" t="s">
        <v>890</v>
      </c>
      <c r="B11" s="54" t="s">
        <v>306</v>
      </c>
      <c r="C11" t="b">
        <v>0</v>
      </c>
      <c r="D11" t="s">
        <v>891</v>
      </c>
      <c r="E11" t="s">
        <v>307</v>
      </c>
      <c r="F11" t="s">
        <v>308</v>
      </c>
      <c r="G11" s="33"/>
    </row>
    <row r="12" spans="1:8">
      <c r="A12" t="s">
        <v>890</v>
      </c>
      <c r="B12" t="s">
        <v>309</v>
      </c>
      <c r="C12" t="b">
        <v>0</v>
      </c>
      <c r="D12" t="s">
        <v>891</v>
      </c>
      <c r="E12" t="s">
        <v>310</v>
      </c>
      <c r="F12" t="s">
        <v>311</v>
      </c>
      <c r="G12" s="59"/>
      <c r="H12" s="1"/>
    </row>
    <row r="13" spans="1:8" ht="15">
      <c r="A13" t="s">
        <v>890</v>
      </c>
      <c r="B13" t="s">
        <v>312</v>
      </c>
      <c r="C13" t="b">
        <v>0</v>
      </c>
      <c r="D13" t="s">
        <v>891</v>
      </c>
      <c r="E13" t="s">
        <v>313</v>
      </c>
      <c r="F13" t="s">
        <v>314</v>
      </c>
      <c r="G13" s="46" t="s">
        <v>912</v>
      </c>
    </row>
    <row r="14" spans="1:8" ht="15">
      <c r="A14" t="s">
        <v>890</v>
      </c>
      <c r="B14" t="s">
        <v>315</v>
      </c>
      <c r="C14" t="b">
        <v>0</v>
      </c>
      <c r="D14" t="s">
        <v>891</v>
      </c>
      <c r="E14" t="s">
        <v>316</v>
      </c>
      <c r="F14" t="s">
        <v>317</v>
      </c>
      <c r="G14" s="67"/>
    </row>
    <row r="15" spans="1:8" ht="15">
      <c r="A15" t="s">
        <v>890</v>
      </c>
      <c r="B15" t="s">
        <v>318</v>
      </c>
      <c r="C15" t="b">
        <v>0</v>
      </c>
      <c r="D15" t="s">
        <v>891</v>
      </c>
      <c r="E15" t="s">
        <v>319</v>
      </c>
      <c r="F15" t="s">
        <v>320</v>
      </c>
      <c r="G15" s="46"/>
    </row>
    <row r="16" spans="1:8">
      <c r="A16" s="1" t="s">
        <v>890</v>
      </c>
      <c r="B16" s="1" t="s">
        <v>321</v>
      </c>
      <c r="C16" s="1" t="b">
        <v>0</v>
      </c>
      <c r="D16" s="1" t="s">
        <v>891</v>
      </c>
      <c r="E16" s="1" t="s">
        <v>322</v>
      </c>
      <c r="F16" s="1" t="s">
        <v>323</v>
      </c>
      <c r="G16" s="67" t="s">
        <v>913</v>
      </c>
    </row>
    <row r="17" spans="1:8" ht="15">
      <c r="A17" t="s">
        <v>890</v>
      </c>
      <c r="B17" t="s">
        <v>324</v>
      </c>
      <c r="C17" t="b">
        <v>0</v>
      </c>
      <c r="D17" t="s">
        <v>891</v>
      </c>
      <c r="E17" t="s">
        <v>325</v>
      </c>
      <c r="F17" t="s">
        <v>326</v>
      </c>
      <c r="G17" s="33"/>
    </row>
    <row r="18" spans="1:8">
      <c r="A18" s="1" t="s">
        <v>890</v>
      </c>
      <c r="B18" s="2" t="s">
        <v>327</v>
      </c>
      <c r="C18" s="1" t="b">
        <v>0</v>
      </c>
      <c r="D18" s="1" t="s">
        <v>891</v>
      </c>
      <c r="E18" s="1" t="s">
        <v>328</v>
      </c>
      <c r="F18" s="1" t="s">
        <v>329</v>
      </c>
      <c r="G18" s="67"/>
      <c r="H18" s="54"/>
    </row>
    <row r="19" spans="1:8" ht="15">
      <c r="A19" t="s">
        <v>890</v>
      </c>
      <c r="B19" t="s">
        <v>330</v>
      </c>
      <c r="C19" t="b">
        <v>0</v>
      </c>
      <c r="D19" t="s">
        <v>891</v>
      </c>
      <c r="E19" t="s">
        <v>331</v>
      </c>
      <c r="F19" t="s">
        <v>332</v>
      </c>
      <c r="G19" s="33"/>
    </row>
    <row r="20" spans="1:8" ht="15">
      <c r="A20" t="s">
        <v>890</v>
      </c>
      <c r="B20" t="s">
        <v>333</v>
      </c>
      <c r="C20" t="b">
        <v>0</v>
      </c>
      <c r="D20" t="s">
        <v>891</v>
      </c>
      <c r="E20" t="s">
        <v>334</v>
      </c>
      <c r="F20" t="s">
        <v>335</v>
      </c>
      <c r="G20" s="67"/>
    </row>
    <row r="21" spans="1:8">
      <c r="A21" t="s">
        <v>890</v>
      </c>
      <c r="B21" t="s">
        <v>336</v>
      </c>
      <c r="C21" t="b">
        <v>0</v>
      </c>
      <c r="D21" t="s">
        <v>891</v>
      </c>
      <c r="E21" t="s">
        <v>337</v>
      </c>
      <c r="F21" t="s">
        <v>338</v>
      </c>
      <c r="G21" s="61"/>
      <c r="H21" s="1"/>
    </row>
    <row r="22" spans="1:8">
      <c r="A22" t="s">
        <v>890</v>
      </c>
      <c r="B22" t="s">
        <v>339</v>
      </c>
      <c r="C22" t="b">
        <v>0</v>
      </c>
      <c r="D22" t="s">
        <v>891</v>
      </c>
      <c r="E22" t="s">
        <v>340</v>
      </c>
      <c r="F22" t="s">
        <v>341</v>
      </c>
      <c r="G22" s="60"/>
      <c r="H22" s="1"/>
    </row>
    <row r="23" spans="1:8" ht="15">
      <c r="A23" t="s">
        <v>890</v>
      </c>
      <c r="B23" t="s">
        <v>342</v>
      </c>
      <c r="C23" t="b">
        <v>0</v>
      </c>
      <c r="D23" t="s">
        <v>891</v>
      </c>
      <c r="E23" t="s">
        <v>343</v>
      </c>
      <c r="F23" t="s">
        <v>344</v>
      </c>
      <c r="G23" s="33"/>
    </row>
    <row r="24" spans="1:8" ht="15">
      <c r="A24" t="s">
        <v>890</v>
      </c>
      <c r="B24" s="54" t="s">
        <v>345</v>
      </c>
      <c r="C24" t="b">
        <v>0</v>
      </c>
      <c r="D24" t="s">
        <v>891</v>
      </c>
      <c r="E24" t="s">
        <v>346</v>
      </c>
      <c r="F24" t="s">
        <v>347</v>
      </c>
      <c r="G24" s="68"/>
    </row>
    <row r="25" spans="1:8" ht="15">
      <c r="A25" t="s">
        <v>890</v>
      </c>
      <c r="B25" t="s">
        <v>348</v>
      </c>
      <c r="C25" t="b">
        <v>0</v>
      </c>
      <c r="D25" t="s">
        <v>891</v>
      </c>
      <c r="E25" t="s">
        <v>349</v>
      </c>
      <c r="F25" t="s">
        <v>350</v>
      </c>
      <c r="G25" s="33"/>
      <c r="H25" s="54"/>
    </row>
    <row r="26" spans="1:8" ht="15">
      <c r="A26" t="s">
        <v>890</v>
      </c>
      <c r="B26" t="s">
        <v>351</v>
      </c>
      <c r="C26" t="b">
        <v>0</v>
      </c>
      <c r="D26" t="s">
        <v>891</v>
      </c>
      <c r="E26" t="s">
        <v>352</v>
      </c>
      <c r="F26" t="s">
        <v>353</v>
      </c>
      <c r="G26" s="67"/>
    </row>
    <row r="27" spans="1:8" ht="15">
      <c r="A27" t="s">
        <v>890</v>
      </c>
      <c r="B27" t="s">
        <v>354</v>
      </c>
      <c r="C27" t="b">
        <v>0</v>
      </c>
      <c r="D27" t="s">
        <v>891</v>
      </c>
      <c r="E27" t="s">
        <v>355</v>
      </c>
      <c r="F27" t="s">
        <v>356</v>
      </c>
      <c r="G27" s="33"/>
    </row>
    <row r="28" spans="1:8">
      <c r="A28" t="s">
        <v>890</v>
      </c>
      <c r="B28" t="s">
        <v>357</v>
      </c>
      <c r="C28" t="b">
        <v>0</v>
      </c>
      <c r="D28" t="s">
        <v>891</v>
      </c>
      <c r="E28" t="s">
        <v>358</v>
      </c>
      <c r="F28" t="s">
        <v>359</v>
      </c>
      <c r="G28" s="63"/>
      <c r="H28" s="1"/>
    </row>
    <row r="29" spans="1:8" ht="15">
      <c r="A29" t="s">
        <v>890</v>
      </c>
      <c r="B29" t="s">
        <v>360</v>
      </c>
      <c r="C29" t="b">
        <v>0</v>
      </c>
      <c r="D29" t="s">
        <v>891</v>
      </c>
      <c r="E29" t="s">
        <v>361</v>
      </c>
      <c r="F29" t="s">
        <v>362</v>
      </c>
      <c r="G29" s="33"/>
    </row>
    <row r="30" spans="1:8">
      <c r="A30" t="s">
        <v>890</v>
      </c>
      <c r="B30" t="s">
        <v>363</v>
      </c>
      <c r="C30" t="b">
        <v>0</v>
      </c>
      <c r="D30" t="s">
        <v>891</v>
      </c>
      <c r="E30" t="s">
        <v>364</v>
      </c>
      <c r="F30" t="s">
        <v>365</v>
      </c>
      <c r="G30" s="60"/>
      <c r="H30" s="1"/>
    </row>
    <row r="31" spans="1:8">
      <c r="A31" t="s">
        <v>890</v>
      </c>
      <c r="B31" t="s">
        <v>366</v>
      </c>
      <c r="C31" t="b">
        <v>0</v>
      </c>
      <c r="D31" t="s">
        <v>891</v>
      </c>
      <c r="E31" t="s">
        <v>367</v>
      </c>
      <c r="F31" t="s">
        <v>368</v>
      </c>
      <c r="G31" s="33"/>
      <c r="H31" s="1"/>
    </row>
    <row r="32" spans="1:8" ht="15">
      <c r="A32" t="s">
        <v>890</v>
      </c>
      <c r="B32" t="s">
        <v>369</v>
      </c>
      <c r="C32" t="b">
        <v>0</v>
      </c>
      <c r="D32" t="s">
        <v>891</v>
      </c>
      <c r="E32" t="s">
        <v>370</v>
      </c>
      <c r="F32" t="s">
        <v>371</v>
      </c>
      <c r="G32" s="67" t="s">
        <v>917</v>
      </c>
    </row>
    <row r="33" spans="1:8" ht="15">
      <c r="A33" t="s">
        <v>890</v>
      </c>
      <c r="B33" t="s">
        <v>372</v>
      </c>
      <c r="C33" t="b">
        <v>0</v>
      </c>
      <c r="D33" t="s">
        <v>891</v>
      </c>
      <c r="E33" t="s">
        <v>373</v>
      </c>
      <c r="F33" t="s">
        <v>374</v>
      </c>
      <c r="G33" s="33"/>
    </row>
    <row r="34" spans="1:8" ht="15">
      <c r="A34" t="s">
        <v>890</v>
      </c>
      <c r="B34" t="s">
        <v>1143</v>
      </c>
      <c r="C34" t="b">
        <v>0</v>
      </c>
      <c r="D34" t="s">
        <v>891</v>
      </c>
      <c r="E34" t="s">
        <v>1144</v>
      </c>
      <c r="F34" t="s">
        <v>1145</v>
      </c>
      <c r="G34" s="67"/>
    </row>
    <row r="35" spans="1:8" ht="15">
      <c r="A35" t="s">
        <v>890</v>
      </c>
      <c r="B35" t="s">
        <v>1160</v>
      </c>
      <c r="C35" t="b">
        <v>0</v>
      </c>
      <c r="D35" t="s">
        <v>891</v>
      </c>
      <c r="E35" t="s">
        <v>1161</v>
      </c>
      <c r="F35" t="s">
        <v>1162</v>
      </c>
      <c r="G35" s="33"/>
    </row>
    <row r="36" spans="1:8" ht="15">
      <c r="A36" t="s">
        <v>890</v>
      </c>
      <c r="B36" t="s">
        <v>1168</v>
      </c>
      <c r="C36" t="b">
        <v>0</v>
      </c>
      <c r="D36" t="s">
        <v>891</v>
      </c>
      <c r="E36" t="s">
        <v>1169</v>
      </c>
      <c r="F36" t="s">
        <v>1170</v>
      </c>
      <c r="G36" s="67"/>
      <c r="H36" s="54"/>
    </row>
    <row r="37" spans="1:8" ht="15">
      <c r="A37" t="s">
        <v>890</v>
      </c>
      <c r="B37" t="s">
        <v>1171</v>
      </c>
      <c r="C37" t="b">
        <v>0</v>
      </c>
      <c r="D37" t="s">
        <v>891</v>
      </c>
      <c r="E37" t="s">
        <v>1172</v>
      </c>
      <c r="F37" t="s">
        <v>1173</v>
      </c>
      <c r="G37" s="33"/>
    </row>
    <row r="38" spans="1:8" ht="15">
      <c r="A38" t="s">
        <v>890</v>
      </c>
      <c r="B38" t="s">
        <v>1486</v>
      </c>
      <c r="C38" t="b">
        <v>0</v>
      </c>
      <c r="D38" t="s">
        <v>891</v>
      </c>
      <c r="E38" t="s">
        <v>1487</v>
      </c>
      <c r="F38" t="s">
        <v>1488</v>
      </c>
      <c r="G38" s="67"/>
      <c r="H38" s="54"/>
    </row>
    <row r="39" spans="1:8" ht="15">
      <c r="A39" t="s">
        <v>890</v>
      </c>
      <c r="B39" t="s">
        <v>375</v>
      </c>
      <c r="C39" t="b">
        <v>0</v>
      </c>
      <c r="D39" t="s">
        <v>892</v>
      </c>
      <c r="E39" t="s">
        <v>266</v>
      </c>
      <c r="F39" t="s">
        <v>376</v>
      </c>
      <c r="G39" s="33"/>
    </row>
    <row r="40" spans="1:8">
      <c r="A40" t="s">
        <v>890</v>
      </c>
      <c r="B40" t="s">
        <v>377</v>
      </c>
      <c r="C40" t="b">
        <v>0</v>
      </c>
      <c r="D40" t="s">
        <v>892</v>
      </c>
      <c r="E40" t="s">
        <v>255</v>
      </c>
      <c r="F40" t="s">
        <v>378</v>
      </c>
      <c r="G40" s="67"/>
      <c r="H40" s="2"/>
    </row>
    <row r="41" spans="1:8" ht="15">
      <c r="A41" t="s">
        <v>890</v>
      </c>
      <c r="B41" s="54" t="s">
        <v>379</v>
      </c>
      <c r="C41" t="b">
        <v>0</v>
      </c>
      <c r="D41" t="s">
        <v>892</v>
      </c>
      <c r="E41" t="s">
        <v>380</v>
      </c>
      <c r="F41" t="s">
        <v>381</v>
      </c>
      <c r="G41" s="33"/>
    </row>
    <row r="42" spans="1:8" ht="15">
      <c r="A42" t="s">
        <v>890</v>
      </c>
      <c r="B42" t="s">
        <v>382</v>
      </c>
      <c r="C42" t="b">
        <v>0</v>
      </c>
      <c r="D42" t="s">
        <v>892</v>
      </c>
      <c r="E42" t="s">
        <v>216</v>
      </c>
      <c r="F42" t="s">
        <v>383</v>
      </c>
      <c r="G42" s="68"/>
      <c r="H42" s="54"/>
    </row>
    <row r="43" spans="1:8" ht="15">
      <c r="A43" t="s">
        <v>890</v>
      </c>
      <c r="B43" s="54" t="s">
        <v>384</v>
      </c>
      <c r="C43" t="b">
        <v>0</v>
      </c>
      <c r="D43" t="s">
        <v>892</v>
      </c>
      <c r="E43" t="s">
        <v>385</v>
      </c>
      <c r="F43" t="s">
        <v>386</v>
      </c>
      <c r="G43" s="46"/>
      <c r="H43" s="54"/>
    </row>
    <row r="44" spans="1:8">
      <c r="A44" s="1" t="s">
        <v>890</v>
      </c>
      <c r="B44" s="2" t="s">
        <v>387</v>
      </c>
      <c r="C44" s="1" t="b">
        <v>0</v>
      </c>
      <c r="D44" s="1" t="s">
        <v>892</v>
      </c>
      <c r="E44" s="1" t="s">
        <v>388</v>
      </c>
      <c r="F44" s="1" t="s">
        <v>389</v>
      </c>
      <c r="G44" s="68"/>
    </row>
    <row r="45" spans="1:8" ht="15">
      <c r="A45" t="s">
        <v>890</v>
      </c>
      <c r="B45" t="s">
        <v>390</v>
      </c>
      <c r="C45" t="b">
        <v>0</v>
      </c>
      <c r="D45" t="s">
        <v>892</v>
      </c>
      <c r="E45" t="s">
        <v>391</v>
      </c>
      <c r="F45" t="s">
        <v>392</v>
      </c>
      <c r="G45" s="33"/>
    </row>
    <row r="46" spans="1:8">
      <c r="A46" t="s">
        <v>890</v>
      </c>
      <c r="B46" t="s">
        <v>393</v>
      </c>
      <c r="C46" t="b">
        <v>0</v>
      </c>
      <c r="D46" t="s">
        <v>892</v>
      </c>
      <c r="E46" t="s">
        <v>394</v>
      </c>
      <c r="F46" t="s">
        <v>395</v>
      </c>
      <c r="G46" s="60"/>
      <c r="H46" s="1"/>
    </row>
    <row r="47" spans="1:8" ht="15">
      <c r="A47" t="s">
        <v>890</v>
      </c>
      <c r="B47" t="s">
        <v>396</v>
      </c>
      <c r="C47" t="b">
        <v>0</v>
      </c>
      <c r="D47" t="s">
        <v>892</v>
      </c>
      <c r="E47" t="s">
        <v>397</v>
      </c>
      <c r="F47" t="s">
        <v>398</v>
      </c>
      <c r="G47" s="46"/>
    </row>
    <row r="48" spans="1:8" ht="15">
      <c r="A48" t="s">
        <v>890</v>
      </c>
      <c r="B48" t="s">
        <v>399</v>
      </c>
      <c r="C48" t="b">
        <v>0</v>
      </c>
      <c r="D48" t="s">
        <v>892</v>
      </c>
      <c r="E48" t="s">
        <v>400</v>
      </c>
      <c r="F48" t="s">
        <v>401</v>
      </c>
      <c r="G48" s="67"/>
      <c r="H48" s="54"/>
    </row>
    <row r="49" spans="1:8" ht="15">
      <c r="A49" t="s">
        <v>890</v>
      </c>
      <c r="B49" t="s">
        <v>402</v>
      </c>
      <c r="C49" t="b">
        <v>0</v>
      </c>
      <c r="D49" t="s">
        <v>892</v>
      </c>
      <c r="E49" t="s">
        <v>403</v>
      </c>
      <c r="F49" t="s">
        <v>404</v>
      </c>
      <c r="G49" s="33" t="s">
        <v>921</v>
      </c>
    </row>
    <row r="50" spans="1:8" ht="15">
      <c r="A50" t="s">
        <v>890</v>
      </c>
      <c r="B50" t="s">
        <v>1174</v>
      </c>
      <c r="C50" t="b">
        <v>0</v>
      </c>
      <c r="D50" t="s">
        <v>892</v>
      </c>
      <c r="E50" t="s">
        <v>1175</v>
      </c>
      <c r="F50" t="s">
        <v>1176</v>
      </c>
      <c r="G50" s="68" t="s">
        <v>921</v>
      </c>
    </row>
    <row r="51" spans="1:8" ht="15">
      <c r="A51" t="s">
        <v>890</v>
      </c>
      <c r="B51" t="s">
        <v>405</v>
      </c>
      <c r="C51" t="b">
        <v>0</v>
      </c>
      <c r="D51" t="s">
        <v>892</v>
      </c>
      <c r="E51" t="s">
        <v>406</v>
      </c>
      <c r="F51" t="s">
        <v>407</v>
      </c>
      <c r="G51" s="46"/>
      <c r="H51" s="54"/>
    </row>
    <row r="52" spans="1:8" ht="15">
      <c r="A52" t="s">
        <v>890</v>
      </c>
      <c r="B52" t="s">
        <v>408</v>
      </c>
      <c r="C52" t="b">
        <v>0</v>
      </c>
      <c r="D52" t="s">
        <v>892</v>
      </c>
      <c r="E52" t="s">
        <v>409</v>
      </c>
      <c r="F52" t="s">
        <v>410</v>
      </c>
      <c r="G52" s="67"/>
    </row>
    <row r="53" spans="1:8" ht="15">
      <c r="A53" t="s">
        <v>890</v>
      </c>
      <c r="B53" t="s">
        <v>411</v>
      </c>
      <c r="C53" t="b">
        <v>0</v>
      </c>
      <c r="D53" t="s">
        <v>892</v>
      </c>
      <c r="E53" t="s">
        <v>412</v>
      </c>
      <c r="F53" t="s">
        <v>413</v>
      </c>
      <c r="G53" s="33"/>
      <c r="H53" s="54"/>
    </row>
    <row r="54" spans="1:8">
      <c r="A54" t="s">
        <v>890</v>
      </c>
      <c r="B54" t="s">
        <v>414</v>
      </c>
      <c r="C54" t="b">
        <v>0</v>
      </c>
      <c r="D54" t="s">
        <v>892</v>
      </c>
      <c r="E54" t="s">
        <v>415</v>
      </c>
      <c r="F54" t="s">
        <v>416</v>
      </c>
      <c r="G54" s="68"/>
      <c r="H54" s="1"/>
    </row>
    <row r="55" spans="1:8" ht="15">
      <c r="A55" t="s">
        <v>890</v>
      </c>
      <c r="B55" t="s">
        <v>417</v>
      </c>
      <c r="C55" t="b">
        <v>0</v>
      </c>
      <c r="D55" t="s">
        <v>892</v>
      </c>
      <c r="E55" t="s">
        <v>418</v>
      </c>
      <c r="F55" t="s">
        <v>419</v>
      </c>
      <c r="G55" s="33"/>
    </row>
    <row r="56" spans="1:8" ht="15">
      <c r="A56" t="s">
        <v>890</v>
      </c>
      <c r="B56" t="s">
        <v>420</v>
      </c>
      <c r="C56" t="b">
        <v>0</v>
      </c>
      <c r="D56" t="s">
        <v>892</v>
      </c>
      <c r="E56" t="s">
        <v>421</v>
      </c>
      <c r="F56" t="s">
        <v>422</v>
      </c>
      <c r="G56" s="69"/>
    </row>
    <row r="57" spans="1:8">
      <c r="A57" t="s">
        <v>890</v>
      </c>
      <c r="B57" t="s">
        <v>423</v>
      </c>
      <c r="C57" t="b">
        <v>0</v>
      </c>
      <c r="D57" t="s">
        <v>892</v>
      </c>
      <c r="E57" t="s">
        <v>424</v>
      </c>
      <c r="F57" t="s">
        <v>425</v>
      </c>
      <c r="H57" s="1"/>
    </row>
    <row r="58" spans="1:8">
      <c r="A58" s="1" t="s">
        <v>890</v>
      </c>
      <c r="B58" s="1" t="s">
        <v>426</v>
      </c>
      <c r="C58" s="1" t="b">
        <v>0</v>
      </c>
      <c r="D58" s="1" t="s">
        <v>892</v>
      </c>
      <c r="E58" s="1" t="s">
        <v>427</v>
      </c>
      <c r="F58" s="1" t="s">
        <v>428</v>
      </c>
      <c r="H58" s="1"/>
    </row>
    <row r="59" spans="1:8">
      <c r="A59" t="s">
        <v>890</v>
      </c>
      <c r="B59" t="s">
        <v>429</v>
      </c>
      <c r="C59" t="b">
        <v>0</v>
      </c>
      <c r="D59" t="s">
        <v>892</v>
      </c>
      <c r="E59" t="s">
        <v>430</v>
      </c>
      <c r="F59" t="s">
        <v>431</v>
      </c>
      <c r="H59" s="1"/>
    </row>
    <row r="60" spans="1:8">
      <c r="A60" t="s">
        <v>890</v>
      </c>
      <c r="B60" t="s">
        <v>432</v>
      </c>
      <c r="C60" t="b">
        <v>0</v>
      </c>
      <c r="D60" t="s">
        <v>892</v>
      </c>
      <c r="E60" t="s">
        <v>433</v>
      </c>
      <c r="F60" t="s">
        <v>434</v>
      </c>
      <c r="H60" s="1"/>
    </row>
    <row r="61" spans="1:8">
      <c r="A61" t="s">
        <v>890</v>
      </c>
      <c r="B61" t="s">
        <v>1177</v>
      </c>
      <c r="C61" t="b">
        <v>0</v>
      </c>
      <c r="D61" t="s">
        <v>892</v>
      </c>
      <c r="E61" t="s">
        <v>1178</v>
      </c>
      <c r="F61" t="s">
        <v>1179</v>
      </c>
      <c r="G61" s="3" t="s">
        <v>913</v>
      </c>
      <c r="H61" s="1"/>
    </row>
    <row r="62" spans="1:8">
      <c r="A62" t="s">
        <v>890</v>
      </c>
      <c r="B62" t="s">
        <v>1210</v>
      </c>
      <c r="C62" t="b">
        <v>1</v>
      </c>
      <c r="D62" t="s">
        <v>26</v>
      </c>
      <c r="E62" t="s">
        <v>1211</v>
      </c>
      <c r="F62" t="s">
        <v>261</v>
      </c>
      <c r="G62" s="3" t="s">
        <v>913</v>
      </c>
      <c r="H62" s="1"/>
    </row>
    <row r="63" spans="1:8">
      <c r="A63" t="s">
        <v>890</v>
      </c>
      <c r="B63" t="s">
        <v>1212</v>
      </c>
      <c r="C63" t="b">
        <v>1</v>
      </c>
      <c r="D63" t="s">
        <v>26</v>
      </c>
      <c r="E63" t="s">
        <v>1213</v>
      </c>
      <c r="F63" t="s">
        <v>1214</v>
      </c>
      <c r="G63" s="3" t="s">
        <v>913</v>
      </c>
      <c r="H63" s="1"/>
    </row>
    <row r="64" spans="1:8">
      <c r="A64" t="s">
        <v>890</v>
      </c>
      <c r="B64" t="s">
        <v>1215</v>
      </c>
      <c r="C64" t="b">
        <v>1</v>
      </c>
      <c r="D64" t="s">
        <v>26</v>
      </c>
      <c r="E64" t="s">
        <v>1216</v>
      </c>
      <c r="F64" t="s">
        <v>1217</v>
      </c>
      <c r="G64" s="3" t="s">
        <v>913</v>
      </c>
      <c r="H64" s="1"/>
    </row>
    <row r="65" spans="1:8">
      <c r="A65" t="s">
        <v>890</v>
      </c>
      <c r="B65" t="s">
        <v>1218</v>
      </c>
      <c r="C65" t="b">
        <v>1</v>
      </c>
      <c r="D65" t="s">
        <v>26</v>
      </c>
      <c r="E65" t="s">
        <v>1219</v>
      </c>
      <c r="F65" t="s">
        <v>1220</v>
      </c>
      <c r="G65" s="3" t="s">
        <v>81</v>
      </c>
      <c r="H65" s="1"/>
    </row>
    <row r="66" spans="1:8">
      <c r="A66" s="1" t="s">
        <v>890</v>
      </c>
      <c r="B66" s="1" t="s">
        <v>1221</v>
      </c>
      <c r="C66" s="1" t="b">
        <v>1</v>
      </c>
      <c r="D66" s="1" t="s">
        <v>26</v>
      </c>
      <c r="E66" s="1" t="s">
        <v>1222</v>
      </c>
      <c r="F66" s="1" t="s">
        <v>1223</v>
      </c>
      <c r="G66" s="3" t="s">
        <v>81</v>
      </c>
      <c r="H66" s="1"/>
    </row>
    <row r="67" spans="1:8">
      <c r="A67" t="s">
        <v>890</v>
      </c>
      <c r="B67" s="54" t="s">
        <v>1224</v>
      </c>
      <c r="C67" t="b">
        <v>1</v>
      </c>
      <c r="D67" t="s">
        <v>26</v>
      </c>
      <c r="E67" t="s">
        <v>1225</v>
      </c>
      <c r="F67" t="s">
        <v>1226</v>
      </c>
      <c r="H67" s="1"/>
    </row>
    <row r="68" spans="1:8">
      <c r="A68" s="1" t="s">
        <v>890</v>
      </c>
      <c r="B68" s="1" t="s">
        <v>1227</v>
      </c>
      <c r="C68" s="1" t="b">
        <v>1</v>
      </c>
      <c r="D68" s="2" t="s">
        <v>26</v>
      </c>
      <c r="E68" s="1" t="s">
        <v>1228</v>
      </c>
      <c r="F68" s="1" t="s">
        <v>1229</v>
      </c>
      <c r="G68" s="3" t="s">
        <v>922</v>
      </c>
      <c r="H68" s="1"/>
    </row>
    <row r="69" spans="1:8">
      <c r="A69" t="s">
        <v>890</v>
      </c>
      <c r="B69" t="s">
        <v>435</v>
      </c>
      <c r="C69" t="b">
        <v>0</v>
      </c>
      <c r="D69" t="s">
        <v>26</v>
      </c>
      <c r="E69" t="s">
        <v>436</v>
      </c>
      <c r="F69" t="s">
        <v>437</v>
      </c>
      <c r="G69" s="3" t="s">
        <v>922</v>
      </c>
      <c r="H69" s="1"/>
    </row>
    <row r="70" spans="1:8">
      <c r="A70" s="1" t="s">
        <v>890</v>
      </c>
      <c r="B70" s="2" t="s">
        <v>440</v>
      </c>
      <c r="C70" s="1" t="b">
        <v>0</v>
      </c>
      <c r="D70" s="1" t="s">
        <v>26</v>
      </c>
      <c r="E70" s="1" t="s">
        <v>264</v>
      </c>
      <c r="F70" s="1" t="s">
        <v>441</v>
      </c>
      <c r="G70" s="3" t="s">
        <v>923</v>
      </c>
      <c r="H70" s="1"/>
    </row>
    <row r="71" spans="1:8">
      <c r="A71" t="s">
        <v>890</v>
      </c>
      <c r="B71" t="s">
        <v>442</v>
      </c>
      <c r="C71" t="b">
        <v>0</v>
      </c>
      <c r="D71" t="s">
        <v>26</v>
      </c>
      <c r="E71" t="s">
        <v>1180</v>
      </c>
      <c r="F71" t="s">
        <v>1181</v>
      </c>
      <c r="G71" s="3" t="s">
        <v>922</v>
      </c>
      <c r="H71" s="1"/>
    </row>
    <row r="72" spans="1:8">
      <c r="A72" t="s">
        <v>890</v>
      </c>
      <c r="B72" t="s">
        <v>443</v>
      </c>
      <c r="C72" t="b">
        <v>0</v>
      </c>
      <c r="D72" t="s">
        <v>26</v>
      </c>
      <c r="E72" t="s">
        <v>444</v>
      </c>
      <c r="F72" t="s">
        <v>445</v>
      </c>
      <c r="G72" s="3" t="s">
        <v>913</v>
      </c>
      <c r="H72" s="1"/>
    </row>
    <row r="73" spans="1:8">
      <c r="A73" t="s">
        <v>890</v>
      </c>
      <c r="B73" t="s">
        <v>446</v>
      </c>
      <c r="C73" t="b">
        <v>0</v>
      </c>
      <c r="D73" t="s">
        <v>26</v>
      </c>
      <c r="E73" t="s">
        <v>241</v>
      </c>
      <c r="F73" t="s">
        <v>447</v>
      </c>
      <c r="G73" s="3" t="s">
        <v>913</v>
      </c>
      <c r="H73" s="1"/>
    </row>
    <row r="74" spans="1:8">
      <c r="A74" t="s">
        <v>890</v>
      </c>
      <c r="B74" s="54" t="s">
        <v>448</v>
      </c>
      <c r="C74" t="b">
        <v>0</v>
      </c>
      <c r="D74" t="s">
        <v>26</v>
      </c>
      <c r="E74" t="s">
        <v>243</v>
      </c>
      <c r="F74" t="s">
        <v>449</v>
      </c>
      <c r="G74" s="3" t="s">
        <v>913</v>
      </c>
      <c r="H74" s="1"/>
    </row>
    <row r="75" spans="1:8">
      <c r="A75" t="s">
        <v>890</v>
      </c>
      <c r="B75" t="s">
        <v>450</v>
      </c>
      <c r="C75" t="b">
        <v>0</v>
      </c>
      <c r="D75" t="s">
        <v>26</v>
      </c>
      <c r="E75" t="s">
        <v>1146</v>
      </c>
      <c r="F75" t="s">
        <v>1147</v>
      </c>
      <c r="G75" s="3" t="s">
        <v>913</v>
      </c>
      <c r="H75" s="1"/>
    </row>
    <row r="76" spans="1:8">
      <c r="A76" t="s">
        <v>890</v>
      </c>
      <c r="B76" s="54" t="s">
        <v>451</v>
      </c>
      <c r="C76" t="b">
        <v>0</v>
      </c>
      <c r="D76" t="s">
        <v>26</v>
      </c>
      <c r="E76" t="s">
        <v>224</v>
      </c>
      <c r="F76" t="s">
        <v>452</v>
      </c>
      <c r="G76" s="3" t="s">
        <v>76</v>
      </c>
      <c r="H76" s="1"/>
    </row>
    <row r="77" spans="1:8">
      <c r="A77" t="s">
        <v>890</v>
      </c>
      <c r="B77" s="54" t="s">
        <v>453</v>
      </c>
      <c r="C77" t="b">
        <v>0</v>
      </c>
      <c r="D77" t="s">
        <v>26</v>
      </c>
      <c r="E77" t="s">
        <v>228</v>
      </c>
      <c r="F77" t="s">
        <v>454</v>
      </c>
      <c r="G77" s="3" t="s">
        <v>76</v>
      </c>
      <c r="H77" s="1"/>
    </row>
    <row r="78" spans="1:8">
      <c r="A78" s="1" t="s">
        <v>890</v>
      </c>
      <c r="B78" s="2" t="s">
        <v>455</v>
      </c>
      <c r="C78" s="1" t="b">
        <v>0</v>
      </c>
      <c r="D78" s="1" t="s">
        <v>26</v>
      </c>
      <c r="E78" s="1" t="s">
        <v>230</v>
      </c>
      <c r="F78" s="1" t="s">
        <v>456</v>
      </c>
      <c r="G78" s="3" t="s">
        <v>76</v>
      </c>
      <c r="H78" s="1"/>
    </row>
    <row r="79" spans="1:8">
      <c r="A79" t="s">
        <v>890</v>
      </c>
      <c r="B79" t="s">
        <v>457</v>
      </c>
      <c r="C79" t="b">
        <v>0</v>
      </c>
      <c r="D79" t="s">
        <v>26</v>
      </c>
      <c r="E79" t="s">
        <v>458</v>
      </c>
      <c r="F79" t="s">
        <v>459</v>
      </c>
      <c r="G79" s="3" t="s">
        <v>913</v>
      </c>
      <c r="H79" s="1"/>
    </row>
    <row r="80" spans="1:8">
      <c r="A80" t="s">
        <v>890</v>
      </c>
      <c r="B80" t="s">
        <v>1230</v>
      </c>
      <c r="C80" t="b">
        <v>1</v>
      </c>
      <c r="D80" t="s">
        <v>893</v>
      </c>
      <c r="E80" t="s">
        <v>1231</v>
      </c>
      <c r="F80" t="s">
        <v>1232</v>
      </c>
      <c r="H80" s="1"/>
    </row>
    <row r="81" spans="1:8">
      <c r="A81" t="s">
        <v>890</v>
      </c>
      <c r="B81" t="s">
        <v>1233</v>
      </c>
      <c r="C81" t="b">
        <v>1</v>
      </c>
      <c r="D81" t="s">
        <v>893</v>
      </c>
      <c r="E81" t="s">
        <v>1234</v>
      </c>
      <c r="F81" t="s">
        <v>1235</v>
      </c>
      <c r="H81" s="1"/>
    </row>
    <row r="82" spans="1:8">
      <c r="A82" t="s">
        <v>890</v>
      </c>
      <c r="B82" t="s">
        <v>1236</v>
      </c>
      <c r="C82" t="b">
        <v>1</v>
      </c>
      <c r="D82" t="s">
        <v>893</v>
      </c>
      <c r="E82" t="s">
        <v>1237</v>
      </c>
      <c r="F82" t="s">
        <v>1238</v>
      </c>
      <c r="H82" s="1"/>
    </row>
    <row r="83" spans="1:8">
      <c r="A83" t="s">
        <v>890</v>
      </c>
      <c r="B83" t="s">
        <v>1239</v>
      </c>
      <c r="C83" t="b">
        <v>1</v>
      </c>
      <c r="D83" t="s">
        <v>893</v>
      </c>
      <c r="E83" t="s">
        <v>1240</v>
      </c>
      <c r="F83" t="s">
        <v>1241</v>
      </c>
      <c r="G83" s="3" t="s">
        <v>924</v>
      </c>
      <c r="H83" s="1"/>
    </row>
    <row r="84" spans="1:8">
      <c r="A84" t="s">
        <v>890</v>
      </c>
      <c r="B84" t="s">
        <v>465</v>
      </c>
      <c r="C84" t="b">
        <v>0</v>
      </c>
      <c r="D84" t="s">
        <v>893</v>
      </c>
      <c r="E84" t="s">
        <v>1182</v>
      </c>
      <c r="F84" t="s">
        <v>1183</v>
      </c>
      <c r="G84" s="3" t="s">
        <v>924</v>
      </c>
      <c r="H84" s="1"/>
    </row>
    <row r="85" spans="1:8">
      <c r="A85" t="s">
        <v>890</v>
      </c>
      <c r="B85" t="s">
        <v>1163</v>
      </c>
      <c r="C85" t="b">
        <v>0</v>
      </c>
      <c r="D85" t="s">
        <v>893</v>
      </c>
      <c r="E85" t="s">
        <v>1164</v>
      </c>
      <c r="F85" t="s">
        <v>1165</v>
      </c>
      <c r="G85" s="3" t="s">
        <v>922</v>
      </c>
      <c r="H85" s="1"/>
    </row>
    <row r="86" spans="1:8">
      <c r="A86" t="s">
        <v>890</v>
      </c>
      <c r="B86" t="s">
        <v>1152</v>
      </c>
      <c r="C86" t="b">
        <v>1</v>
      </c>
      <c r="D86" t="s">
        <v>893</v>
      </c>
      <c r="E86" t="s">
        <v>1153</v>
      </c>
      <c r="F86" t="s">
        <v>1154</v>
      </c>
      <c r="H86" s="1"/>
    </row>
    <row r="87" spans="1:8">
      <c r="A87" t="s">
        <v>890</v>
      </c>
      <c r="B87" t="s">
        <v>1242</v>
      </c>
      <c r="C87" t="b">
        <v>1</v>
      </c>
      <c r="D87" t="s">
        <v>38</v>
      </c>
      <c r="E87" t="s">
        <v>1243</v>
      </c>
      <c r="F87" t="s">
        <v>1244</v>
      </c>
      <c r="H87" s="1"/>
    </row>
    <row r="88" spans="1:8">
      <c r="A88" t="s">
        <v>890</v>
      </c>
      <c r="B88" s="54" t="s">
        <v>1245</v>
      </c>
      <c r="C88" t="b">
        <v>1</v>
      </c>
      <c r="D88" t="s">
        <v>38</v>
      </c>
      <c r="E88" t="s">
        <v>1246</v>
      </c>
      <c r="F88" t="s">
        <v>1247</v>
      </c>
      <c r="G88" s="3" t="s">
        <v>76</v>
      </c>
      <c r="H88" s="1"/>
    </row>
    <row r="89" spans="1:8">
      <c r="A89" t="s">
        <v>890</v>
      </c>
      <c r="B89" t="s">
        <v>1248</v>
      </c>
      <c r="C89" t="b">
        <v>1</v>
      </c>
      <c r="D89" t="s">
        <v>38</v>
      </c>
      <c r="E89" t="s">
        <v>1249</v>
      </c>
      <c r="F89" t="s">
        <v>1250</v>
      </c>
      <c r="G89" s="3" t="s">
        <v>76</v>
      </c>
      <c r="H89" s="1"/>
    </row>
    <row r="90" spans="1:8">
      <c r="A90" t="s">
        <v>890</v>
      </c>
      <c r="B90" t="s">
        <v>1251</v>
      </c>
      <c r="C90" t="b">
        <v>1</v>
      </c>
      <c r="D90" t="s">
        <v>38</v>
      </c>
      <c r="E90" t="s">
        <v>1252</v>
      </c>
      <c r="F90" t="s">
        <v>1253</v>
      </c>
      <c r="G90" s="3" t="s">
        <v>909</v>
      </c>
      <c r="H90" s="1"/>
    </row>
    <row r="91" spans="1:8">
      <c r="A91" t="s">
        <v>890</v>
      </c>
      <c r="B91" t="s">
        <v>1254</v>
      </c>
      <c r="C91" t="b">
        <v>1</v>
      </c>
      <c r="D91" t="s">
        <v>38</v>
      </c>
      <c r="E91" t="s">
        <v>1255</v>
      </c>
      <c r="F91" t="s">
        <v>1256</v>
      </c>
      <c r="G91" s="3" t="s">
        <v>907</v>
      </c>
      <c r="H91" s="1"/>
    </row>
    <row r="92" spans="1:8">
      <c r="A92" t="s">
        <v>890</v>
      </c>
      <c r="B92" t="s">
        <v>466</v>
      </c>
      <c r="C92" t="b">
        <v>0</v>
      </c>
      <c r="D92" t="s">
        <v>38</v>
      </c>
      <c r="E92" t="s">
        <v>467</v>
      </c>
      <c r="F92" t="s">
        <v>468</v>
      </c>
      <c r="G92" s="3" t="s">
        <v>906</v>
      </c>
      <c r="H92" s="1"/>
    </row>
    <row r="93" spans="1:8">
      <c r="A93" t="s">
        <v>890</v>
      </c>
      <c r="B93" t="s">
        <v>469</v>
      </c>
      <c r="C93" t="b">
        <v>1</v>
      </c>
      <c r="D93" t="s">
        <v>38</v>
      </c>
      <c r="E93" t="s">
        <v>209</v>
      </c>
      <c r="F93" t="s">
        <v>470</v>
      </c>
      <c r="G93" s="3" t="s">
        <v>76</v>
      </c>
      <c r="H93" s="1"/>
    </row>
    <row r="94" spans="1:8">
      <c r="A94" t="s">
        <v>890</v>
      </c>
      <c r="B94" s="54" t="s">
        <v>287</v>
      </c>
      <c r="C94" t="b">
        <v>0</v>
      </c>
      <c r="D94" t="s">
        <v>38</v>
      </c>
      <c r="E94" t="s">
        <v>1150</v>
      </c>
      <c r="F94" t="s">
        <v>1151</v>
      </c>
      <c r="G94" s="3" t="s">
        <v>905</v>
      </c>
      <c r="H94" s="1"/>
    </row>
    <row r="95" spans="1:8">
      <c r="A95" t="s">
        <v>890</v>
      </c>
      <c r="B95" t="s">
        <v>1257</v>
      </c>
      <c r="C95" t="b">
        <v>1</v>
      </c>
      <c r="D95" t="s">
        <v>1258</v>
      </c>
      <c r="E95" t="s">
        <v>1259</v>
      </c>
      <c r="F95" t="s">
        <v>1260</v>
      </c>
      <c r="H95" s="1"/>
    </row>
    <row r="96" spans="1:8">
      <c r="A96" t="s">
        <v>890</v>
      </c>
      <c r="B96" t="s">
        <v>1261</v>
      </c>
      <c r="C96" t="b">
        <v>1</v>
      </c>
      <c r="D96" t="s">
        <v>1258</v>
      </c>
      <c r="E96" t="s">
        <v>1262</v>
      </c>
      <c r="F96" t="s">
        <v>1263</v>
      </c>
      <c r="H96" s="1"/>
    </row>
    <row r="97" spans="1:8">
      <c r="A97" t="s">
        <v>890</v>
      </c>
      <c r="B97" t="s">
        <v>1264</v>
      </c>
      <c r="C97" t="b">
        <v>1</v>
      </c>
      <c r="D97" t="s">
        <v>0</v>
      </c>
      <c r="E97" t="s">
        <v>1265</v>
      </c>
      <c r="F97" t="s">
        <v>1266</v>
      </c>
      <c r="H97" s="1"/>
    </row>
    <row r="98" spans="1:8">
      <c r="A98" t="s">
        <v>890</v>
      </c>
      <c r="B98" t="s">
        <v>1267</v>
      </c>
      <c r="C98" t="b">
        <v>1</v>
      </c>
      <c r="D98" t="s">
        <v>0</v>
      </c>
      <c r="E98" t="s">
        <v>1268</v>
      </c>
      <c r="F98" t="s">
        <v>1269</v>
      </c>
      <c r="G98" s="3" t="s">
        <v>911</v>
      </c>
      <c r="H98" s="1"/>
    </row>
    <row r="99" spans="1:8">
      <c r="A99" t="s">
        <v>890</v>
      </c>
      <c r="B99" t="s">
        <v>1270</v>
      </c>
      <c r="C99" t="b">
        <v>1</v>
      </c>
      <c r="D99" t="s">
        <v>0</v>
      </c>
      <c r="E99" t="s">
        <v>1271</v>
      </c>
      <c r="F99" t="s">
        <v>1272</v>
      </c>
      <c r="G99" s="3" t="s">
        <v>911</v>
      </c>
      <c r="H99" s="1"/>
    </row>
    <row r="100" spans="1:8">
      <c r="A100" t="s">
        <v>890</v>
      </c>
      <c r="B100" t="s">
        <v>1273</v>
      </c>
      <c r="C100" t="b">
        <v>1</v>
      </c>
      <c r="D100" t="s">
        <v>0</v>
      </c>
      <c r="E100" t="s">
        <v>1274</v>
      </c>
      <c r="F100" t="s">
        <v>1275</v>
      </c>
      <c r="H100" s="1"/>
    </row>
    <row r="101" spans="1:8">
      <c r="A101" t="s">
        <v>890</v>
      </c>
      <c r="B101" t="s">
        <v>1276</v>
      </c>
      <c r="C101" t="b">
        <v>1</v>
      </c>
      <c r="D101" t="s">
        <v>0</v>
      </c>
      <c r="E101" t="s">
        <v>1277</v>
      </c>
      <c r="F101" t="s">
        <v>1278</v>
      </c>
      <c r="H101" s="1"/>
    </row>
    <row r="102" spans="1:8">
      <c r="A102" t="s">
        <v>890</v>
      </c>
      <c r="B102" s="54" t="s">
        <v>1279</v>
      </c>
      <c r="C102" t="b">
        <v>1</v>
      </c>
      <c r="D102" t="s">
        <v>0</v>
      </c>
      <c r="E102" t="s">
        <v>1280</v>
      </c>
      <c r="F102" t="s">
        <v>1281</v>
      </c>
      <c r="H102" s="1"/>
    </row>
    <row r="103" spans="1:8">
      <c r="A103" t="s">
        <v>890</v>
      </c>
      <c r="B103" s="54" t="s">
        <v>1282</v>
      </c>
      <c r="C103" t="b">
        <v>1</v>
      </c>
      <c r="D103" t="s">
        <v>0</v>
      </c>
      <c r="E103" t="s">
        <v>1283</v>
      </c>
      <c r="F103" t="s">
        <v>1284</v>
      </c>
      <c r="H103" s="1"/>
    </row>
    <row r="104" spans="1:8">
      <c r="A104" t="s">
        <v>890</v>
      </c>
      <c r="B104" t="s">
        <v>1285</v>
      </c>
      <c r="C104" t="b">
        <v>1</v>
      </c>
      <c r="D104" t="s">
        <v>0</v>
      </c>
      <c r="E104" t="s">
        <v>1286</v>
      </c>
      <c r="F104" t="s">
        <v>1287</v>
      </c>
      <c r="G104" s="3" t="s">
        <v>1197</v>
      </c>
      <c r="H104" s="1"/>
    </row>
    <row r="105" spans="1:8">
      <c r="A105" t="s">
        <v>890</v>
      </c>
      <c r="B105" t="s">
        <v>1184</v>
      </c>
      <c r="C105" t="b">
        <v>0</v>
      </c>
      <c r="D105" t="s">
        <v>0</v>
      </c>
      <c r="E105" t="s">
        <v>1185</v>
      </c>
      <c r="F105" t="s">
        <v>1186</v>
      </c>
      <c r="G105" s="3" t="s">
        <v>1197</v>
      </c>
      <c r="H105" s="1"/>
    </row>
    <row r="106" spans="1:8">
      <c r="A106" t="s">
        <v>890</v>
      </c>
      <c r="B106" t="s">
        <v>471</v>
      </c>
      <c r="C106" t="b">
        <v>0</v>
      </c>
      <c r="D106" t="s">
        <v>0</v>
      </c>
      <c r="E106" t="s">
        <v>249</v>
      </c>
      <c r="F106" t="s">
        <v>472</v>
      </c>
      <c r="G106" s="3" t="s">
        <v>918</v>
      </c>
      <c r="H106" s="1"/>
    </row>
    <row r="107" spans="1:8">
      <c r="A107" t="s">
        <v>890</v>
      </c>
      <c r="B107" t="s">
        <v>463</v>
      </c>
      <c r="C107" t="b">
        <v>0</v>
      </c>
      <c r="D107" t="s">
        <v>0</v>
      </c>
      <c r="E107" t="s">
        <v>194</v>
      </c>
      <c r="F107" t="s">
        <v>464</v>
      </c>
      <c r="G107" s="3" t="s">
        <v>81</v>
      </c>
      <c r="H107" s="1"/>
    </row>
    <row r="108" spans="1:8">
      <c r="A108" t="s">
        <v>890</v>
      </c>
      <c r="B108" s="54" t="s">
        <v>473</v>
      </c>
      <c r="C108" t="b">
        <v>0</v>
      </c>
      <c r="D108" t="s">
        <v>0</v>
      </c>
      <c r="E108" t="s">
        <v>221</v>
      </c>
      <c r="F108" t="s">
        <v>474</v>
      </c>
      <c r="G108" s="3" t="s">
        <v>81</v>
      </c>
      <c r="H108" s="1"/>
    </row>
    <row r="109" spans="1:8">
      <c r="A109" t="s">
        <v>890</v>
      </c>
      <c r="B109" t="s">
        <v>460</v>
      </c>
      <c r="C109" t="b">
        <v>0</v>
      </c>
      <c r="D109" t="s">
        <v>0</v>
      </c>
      <c r="E109" t="s">
        <v>218</v>
      </c>
      <c r="F109" t="s">
        <v>461</v>
      </c>
      <c r="G109" s="3" t="s">
        <v>81</v>
      </c>
      <c r="H109" s="1"/>
    </row>
    <row r="110" spans="1:8">
      <c r="A110" t="s">
        <v>890</v>
      </c>
      <c r="B110" t="s">
        <v>475</v>
      </c>
      <c r="C110" t="b">
        <v>0</v>
      </c>
      <c r="D110" t="s">
        <v>0</v>
      </c>
      <c r="E110" t="s">
        <v>476</v>
      </c>
      <c r="F110" t="s">
        <v>477</v>
      </c>
      <c r="G110" s="3" t="s">
        <v>913</v>
      </c>
      <c r="H110" s="1"/>
    </row>
    <row r="111" spans="1:8">
      <c r="A111" t="s">
        <v>890</v>
      </c>
      <c r="B111" t="s">
        <v>1187</v>
      </c>
      <c r="C111" t="b">
        <v>0</v>
      </c>
      <c r="D111" t="s">
        <v>0</v>
      </c>
      <c r="E111" t="s">
        <v>1188</v>
      </c>
      <c r="F111" t="s">
        <v>1189</v>
      </c>
      <c r="G111" s="3" t="s">
        <v>76</v>
      </c>
      <c r="H111" s="1"/>
    </row>
    <row r="112" spans="1:8">
      <c r="A112" t="s">
        <v>890</v>
      </c>
      <c r="B112" s="54" t="s">
        <v>462</v>
      </c>
      <c r="C112" t="b">
        <v>0</v>
      </c>
      <c r="D112" t="s">
        <v>0</v>
      </c>
      <c r="E112" t="s">
        <v>1190</v>
      </c>
      <c r="F112" t="s">
        <v>1191</v>
      </c>
      <c r="G112" s="3" t="s">
        <v>81</v>
      </c>
    </row>
    <row r="113" spans="1:7">
      <c r="A113" t="s">
        <v>890</v>
      </c>
      <c r="B113" s="54" t="s">
        <v>438</v>
      </c>
      <c r="C113" t="b">
        <v>0</v>
      </c>
      <c r="D113" t="s">
        <v>0</v>
      </c>
      <c r="E113" t="s">
        <v>262</v>
      </c>
      <c r="F113" t="s">
        <v>439</v>
      </c>
      <c r="G113" s="3" t="s">
        <v>922</v>
      </c>
    </row>
    <row r="114" spans="1:7">
      <c r="A114" t="s">
        <v>890</v>
      </c>
      <c r="B114" s="54" t="s">
        <v>478</v>
      </c>
      <c r="C114" t="b">
        <v>0</v>
      </c>
      <c r="D114" t="s">
        <v>1195</v>
      </c>
      <c r="E114" t="s">
        <v>1166</v>
      </c>
      <c r="F114" t="s">
        <v>1167</v>
      </c>
      <c r="G114" s="3" t="s">
        <v>76</v>
      </c>
    </row>
    <row r="115" spans="1:7">
      <c r="A115" t="s">
        <v>890</v>
      </c>
      <c r="B115" t="s">
        <v>481</v>
      </c>
      <c r="C115" t="b">
        <v>0</v>
      </c>
      <c r="D115" t="s">
        <v>894</v>
      </c>
      <c r="E115" t="s">
        <v>213</v>
      </c>
      <c r="F115" t="s">
        <v>482</v>
      </c>
      <c r="G115" s="3" t="s">
        <v>919</v>
      </c>
    </row>
    <row r="116" spans="1:7">
      <c r="A116" t="s">
        <v>890</v>
      </c>
      <c r="B116" s="54" t="s">
        <v>483</v>
      </c>
      <c r="C116" t="b">
        <v>0</v>
      </c>
      <c r="D116" t="s">
        <v>894</v>
      </c>
      <c r="E116" t="s">
        <v>197</v>
      </c>
      <c r="F116" t="s">
        <v>484</v>
      </c>
      <c r="G116" s="3" t="s">
        <v>904</v>
      </c>
    </row>
    <row r="117" spans="1:7">
      <c r="A117" t="s">
        <v>890</v>
      </c>
      <c r="B117" s="54" t="s">
        <v>485</v>
      </c>
      <c r="C117" t="b">
        <v>0</v>
      </c>
      <c r="D117" t="s">
        <v>894</v>
      </c>
      <c r="E117" t="s">
        <v>486</v>
      </c>
      <c r="F117" t="s">
        <v>487</v>
      </c>
      <c r="G117" s="3" t="s">
        <v>81</v>
      </c>
    </row>
    <row r="118" spans="1:7">
      <c r="A118" t="s">
        <v>890</v>
      </c>
      <c r="B118" t="s">
        <v>488</v>
      </c>
      <c r="C118" t="b">
        <v>0</v>
      </c>
      <c r="D118" t="s">
        <v>894</v>
      </c>
      <c r="E118" t="s">
        <v>205</v>
      </c>
      <c r="F118" t="s">
        <v>489</v>
      </c>
      <c r="G118" s="3" t="s">
        <v>913</v>
      </c>
    </row>
    <row r="119" spans="1:7">
      <c r="A119" t="s">
        <v>890</v>
      </c>
      <c r="B119" t="s">
        <v>490</v>
      </c>
      <c r="C119" t="b">
        <v>0</v>
      </c>
      <c r="D119" t="s">
        <v>894</v>
      </c>
      <c r="E119" t="s">
        <v>491</v>
      </c>
      <c r="F119" t="s">
        <v>492</v>
      </c>
      <c r="G119" s="3" t="s">
        <v>906</v>
      </c>
    </row>
    <row r="120" spans="1:7">
      <c r="A120" t="s">
        <v>890</v>
      </c>
      <c r="B120" t="s">
        <v>1192</v>
      </c>
      <c r="C120" t="b">
        <v>0</v>
      </c>
      <c r="D120" t="s">
        <v>894</v>
      </c>
      <c r="E120" t="s">
        <v>1193</v>
      </c>
      <c r="F120" t="s">
        <v>1194</v>
      </c>
      <c r="G120" s="3" t="s">
        <v>909</v>
      </c>
    </row>
    <row r="121" spans="1:7">
      <c r="A121" t="s">
        <v>890</v>
      </c>
      <c r="B121" t="s">
        <v>493</v>
      </c>
      <c r="C121" t="b">
        <v>0</v>
      </c>
      <c r="D121" t="s">
        <v>895</v>
      </c>
      <c r="E121" t="s">
        <v>494</v>
      </c>
      <c r="F121" t="s">
        <v>495</v>
      </c>
      <c r="G121" s="3" t="s">
        <v>81</v>
      </c>
    </row>
    <row r="122" spans="1:7">
      <c r="A122" t="s">
        <v>890</v>
      </c>
      <c r="B122" s="54" t="s">
        <v>496</v>
      </c>
      <c r="C122" t="b">
        <v>0</v>
      </c>
      <c r="D122" t="s">
        <v>895</v>
      </c>
      <c r="E122" t="s">
        <v>497</v>
      </c>
      <c r="F122" t="s">
        <v>498</v>
      </c>
      <c r="G122" s="3" t="s">
        <v>926</v>
      </c>
    </row>
    <row r="123" spans="1:7">
      <c r="A123" t="s">
        <v>890</v>
      </c>
      <c r="B123" t="s">
        <v>499</v>
      </c>
      <c r="C123" t="b">
        <v>0</v>
      </c>
      <c r="D123" t="s">
        <v>895</v>
      </c>
      <c r="E123" t="s">
        <v>500</v>
      </c>
      <c r="F123" t="s">
        <v>501</v>
      </c>
      <c r="G123" s="3" t="s">
        <v>907</v>
      </c>
    </row>
    <row r="124" spans="1:7">
      <c r="A124" t="s">
        <v>890</v>
      </c>
      <c r="B124" t="s">
        <v>502</v>
      </c>
      <c r="C124" t="b">
        <v>0</v>
      </c>
      <c r="D124" t="s">
        <v>895</v>
      </c>
      <c r="E124" t="s">
        <v>503</v>
      </c>
      <c r="F124" t="s">
        <v>504</v>
      </c>
      <c r="G124" s="3" t="s">
        <v>76</v>
      </c>
    </row>
    <row r="125" spans="1:7">
      <c r="A125" t="s">
        <v>890</v>
      </c>
      <c r="B125" t="s">
        <v>505</v>
      </c>
      <c r="C125" t="b">
        <v>0</v>
      </c>
      <c r="D125" t="s">
        <v>895</v>
      </c>
      <c r="E125" t="s">
        <v>506</v>
      </c>
      <c r="F125" t="s">
        <v>507</v>
      </c>
      <c r="G125" s="3" t="s">
        <v>913</v>
      </c>
    </row>
    <row r="126" spans="1:7">
      <c r="A126" t="s">
        <v>890</v>
      </c>
      <c r="B126" t="s">
        <v>508</v>
      </c>
      <c r="C126" t="b">
        <v>0</v>
      </c>
      <c r="D126" t="s">
        <v>895</v>
      </c>
      <c r="E126" t="s">
        <v>259</v>
      </c>
      <c r="F126" t="s">
        <v>509</v>
      </c>
      <c r="G126" s="3" t="s">
        <v>908</v>
      </c>
    </row>
    <row r="127" spans="1:7">
      <c r="A127" t="s">
        <v>890</v>
      </c>
      <c r="B127" t="s">
        <v>510</v>
      </c>
      <c r="C127" t="b">
        <v>0</v>
      </c>
      <c r="D127" t="s">
        <v>895</v>
      </c>
      <c r="E127" t="s">
        <v>511</v>
      </c>
      <c r="F127" t="s">
        <v>512</v>
      </c>
      <c r="G127" s="3" t="s">
        <v>905</v>
      </c>
    </row>
    <row r="128" spans="1:7">
      <c r="A128" t="s">
        <v>890</v>
      </c>
      <c r="B128" t="s">
        <v>513</v>
      </c>
      <c r="C128" t="b">
        <v>0</v>
      </c>
      <c r="D128" t="s">
        <v>895</v>
      </c>
      <c r="E128" t="s">
        <v>237</v>
      </c>
      <c r="F128" t="s">
        <v>514</v>
      </c>
      <c r="G128" s="3" t="s">
        <v>76</v>
      </c>
    </row>
    <row r="129" spans="1:7">
      <c r="A129" t="s">
        <v>890</v>
      </c>
      <c r="B129" t="s">
        <v>479</v>
      </c>
      <c r="C129" t="b">
        <v>0</v>
      </c>
      <c r="D129" t="s">
        <v>895</v>
      </c>
      <c r="E129" t="s">
        <v>245</v>
      </c>
      <c r="F129" t="s">
        <v>480</v>
      </c>
      <c r="G129" s="3" t="s">
        <v>913</v>
      </c>
    </row>
    <row r="130" spans="1:7">
      <c r="A130" t="s">
        <v>890</v>
      </c>
      <c r="B130" t="s">
        <v>515</v>
      </c>
      <c r="C130" t="b">
        <v>0</v>
      </c>
      <c r="D130" t="s">
        <v>896</v>
      </c>
      <c r="E130" t="s">
        <v>516</v>
      </c>
      <c r="F130" t="s">
        <v>517</v>
      </c>
      <c r="G130" s="3" t="s">
        <v>81</v>
      </c>
    </row>
    <row r="131" spans="1:7">
      <c r="A131" t="s">
        <v>890</v>
      </c>
      <c r="B131" t="s">
        <v>518</v>
      </c>
      <c r="C131" t="b">
        <v>0</v>
      </c>
      <c r="D131" t="s">
        <v>896</v>
      </c>
      <c r="E131" t="s">
        <v>519</v>
      </c>
      <c r="F131" t="s">
        <v>520</v>
      </c>
      <c r="G131" s="3" t="s">
        <v>909</v>
      </c>
    </row>
    <row r="132" spans="1:7">
      <c r="A132" s="1" t="s">
        <v>890</v>
      </c>
      <c r="B132" s="1" t="s">
        <v>521</v>
      </c>
      <c r="C132" s="1" t="b">
        <v>0</v>
      </c>
      <c r="D132" s="1" t="s">
        <v>896</v>
      </c>
      <c r="E132" s="1" t="s">
        <v>522</v>
      </c>
      <c r="F132" s="1" t="s">
        <v>523</v>
      </c>
      <c r="G132" s="3" t="s">
        <v>76</v>
      </c>
    </row>
    <row r="133" spans="1:7">
      <c r="A133" t="s">
        <v>890</v>
      </c>
      <c r="B133" t="s">
        <v>524</v>
      </c>
      <c r="C133" t="b">
        <v>0</v>
      </c>
      <c r="D133" t="s">
        <v>896</v>
      </c>
      <c r="E133" t="s">
        <v>525</v>
      </c>
      <c r="F133" t="s">
        <v>526</v>
      </c>
      <c r="G133" s="3" t="s">
        <v>915</v>
      </c>
    </row>
    <row r="134" spans="1:7">
      <c r="A134" t="s">
        <v>890</v>
      </c>
      <c r="B134" t="s">
        <v>527</v>
      </c>
      <c r="C134" t="b">
        <v>0</v>
      </c>
      <c r="D134" t="s">
        <v>896</v>
      </c>
      <c r="E134" t="s">
        <v>528</v>
      </c>
      <c r="F134" t="s">
        <v>529</v>
      </c>
      <c r="G134" s="3" t="s">
        <v>81</v>
      </c>
    </row>
    <row r="135" spans="1:7">
      <c r="A135" t="s">
        <v>890</v>
      </c>
      <c r="B135" t="s">
        <v>530</v>
      </c>
      <c r="C135" t="b">
        <v>0</v>
      </c>
      <c r="D135" t="s">
        <v>896</v>
      </c>
      <c r="E135" t="s">
        <v>531</v>
      </c>
      <c r="F135" t="s">
        <v>532</v>
      </c>
    </row>
    <row r="136" spans="1:7">
      <c r="A136" t="s">
        <v>890</v>
      </c>
      <c r="B136" t="s">
        <v>533</v>
      </c>
      <c r="C136" t="b">
        <v>0</v>
      </c>
      <c r="D136" t="s">
        <v>896</v>
      </c>
      <c r="E136" t="s">
        <v>534</v>
      </c>
      <c r="F136" t="s">
        <v>535</v>
      </c>
      <c r="G136" s="3" t="s">
        <v>914</v>
      </c>
    </row>
    <row r="137" spans="1:7">
      <c r="A137" t="s">
        <v>890</v>
      </c>
      <c r="B137" t="s">
        <v>536</v>
      </c>
      <c r="C137" t="b">
        <v>0</v>
      </c>
      <c r="D137" t="s">
        <v>896</v>
      </c>
      <c r="E137" t="s">
        <v>537</v>
      </c>
      <c r="F137" t="s">
        <v>538</v>
      </c>
      <c r="G137" s="3" t="s">
        <v>914</v>
      </c>
    </row>
    <row r="138" spans="1:7">
      <c r="A138" t="s">
        <v>890</v>
      </c>
      <c r="B138" s="54" t="s">
        <v>539</v>
      </c>
      <c r="C138" t="b">
        <v>0</v>
      </c>
      <c r="D138" t="s">
        <v>896</v>
      </c>
      <c r="E138" t="s">
        <v>268</v>
      </c>
      <c r="F138" t="s">
        <v>540</v>
      </c>
    </row>
    <row r="139" spans="1:7">
      <c r="A139" t="s">
        <v>890</v>
      </c>
      <c r="B139" t="s">
        <v>1292</v>
      </c>
      <c r="C139" t="b">
        <v>0</v>
      </c>
      <c r="D139" t="s">
        <v>1289</v>
      </c>
      <c r="E139" t="s">
        <v>1293</v>
      </c>
      <c r="F139" t="s">
        <v>1294</v>
      </c>
    </row>
    <row r="140" spans="1:7">
      <c r="A140" t="s">
        <v>890</v>
      </c>
      <c r="B140" t="s">
        <v>1288</v>
      </c>
      <c r="C140" t="b">
        <v>1</v>
      </c>
      <c r="D140" t="s">
        <v>1289</v>
      </c>
      <c r="E140" t="s">
        <v>1290</v>
      </c>
      <c r="F140" t="s">
        <v>1291</v>
      </c>
    </row>
    <row r="141" spans="1:7">
      <c r="A141" t="s">
        <v>890</v>
      </c>
      <c r="B141" t="s">
        <v>1295</v>
      </c>
      <c r="C141" t="b">
        <v>0</v>
      </c>
      <c r="D141" t="s">
        <v>1289</v>
      </c>
      <c r="E141" t="s">
        <v>1296</v>
      </c>
      <c r="F141" t="s">
        <v>1297</v>
      </c>
    </row>
    <row r="142" spans="1:7">
      <c r="A142" s="1" t="s">
        <v>890</v>
      </c>
      <c r="B142" s="1" t="s">
        <v>1298</v>
      </c>
      <c r="C142" s="1" t="b">
        <v>0</v>
      </c>
      <c r="D142" s="1" t="s">
        <v>1289</v>
      </c>
      <c r="E142" s="1" t="s">
        <v>1299</v>
      </c>
      <c r="F142" s="1" t="s">
        <v>1300</v>
      </c>
    </row>
    <row r="143" spans="1:7">
      <c r="A143" t="s">
        <v>890</v>
      </c>
      <c r="B143" t="s">
        <v>1301</v>
      </c>
      <c r="C143" t="b">
        <v>0</v>
      </c>
      <c r="D143" t="s">
        <v>1289</v>
      </c>
      <c r="E143" t="s">
        <v>1302</v>
      </c>
      <c r="F143" t="s">
        <v>1303</v>
      </c>
    </row>
    <row r="144" spans="1:7">
      <c r="A144" t="s">
        <v>890</v>
      </c>
      <c r="B144" t="s">
        <v>1304</v>
      </c>
      <c r="C144" t="b">
        <v>0</v>
      </c>
      <c r="D144" t="s">
        <v>1289</v>
      </c>
      <c r="E144" t="s">
        <v>1305</v>
      </c>
      <c r="F144" t="s">
        <v>1306</v>
      </c>
    </row>
    <row r="145" spans="1:7">
      <c r="A145" t="s">
        <v>890</v>
      </c>
      <c r="B145" t="s">
        <v>1307</v>
      </c>
      <c r="C145" t="b">
        <v>1</v>
      </c>
      <c r="D145" t="s">
        <v>1289</v>
      </c>
      <c r="E145" t="s">
        <v>1308</v>
      </c>
      <c r="F145" t="s">
        <v>1309</v>
      </c>
    </row>
    <row r="146" spans="1:7">
      <c r="A146" t="s">
        <v>890</v>
      </c>
      <c r="B146" t="s">
        <v>1310</v>
      </c>
      <c r="C146" t="b">
        <v>0</v>
      </c>
      <c r="D146" t="s">
        <v>1289</v>
      </c>
      <c r="E146" t="s">
        <v>1311</v>
      </c>
      <c r="F146" t="s">
        <v>1312</v>
      </c>
      <c r="G146" s="3" t="s">
        <v>911</v>
      </c>
    </row>
    <row r="147" spans="1:7">
      <c r="A147" t="s">
        <v>890</v>
      </c>
      <c r="B147" t="s">
        <v>1313</v>
      </c>
      <c r="C147" t="b">
        <v>1</v>
      </c>
      <c r="D147" t="s">
        <v>1289</v>
      </c>
      <c r="E147" t="s">
        <v>1314</v>
      </c>
      <c r="F147" t="s">
        <v>1315</v>
      </c>
      <c r="G147" s="3" t="s">
        <v>911</v>
      </c>
    </row>
    <row r="148" spans="1:7">
      <c r="A148" t="s">
        <v>890</v>
      </c>
      <c r="B148" t="s">
        <v>1316</v>
      </c>
      <c r="C148" t="b">
        <v>0</v>
      </c>
      <c r="D148" t="s">
        <v>1289</v>
      </c>
      <c r="E148" t="s">
        <v>1317</v>
      </c>
      <c r="F148" t="s">
        <v>1318</v>
      </c>
    </row>
    <row r="149" spans="1:7">
      <c r="A149" t="s">
        <v>890</v>
      </c>
      <c r="B149" t="s">
        <v>1319</v>
      </c>
      <c r="C149" t="b">
        <v>0</v>
      </c>
      <c r="D149" t="s">
        <v>1289</v>
      </c>
      <c r="E149" t="s">
        <v>1320</v>
      </c>
      <c r="F149" t="s">
        <v>1321</v>
      </c>
      <c r="G149" s="3" t="s">
        <v>911</v>
      </c>
    </row>
    <row r="150" spans="1:7">
      <c r="A150" t="s">
        <v>890</v>
      </c>
      <c r="B150" t="s">
        <v>1322</v>
      </c>
      <c r="C150" t="b">
        <v>0</v>
      </c>
      <c r="D150" t="s">
        <v>1289</v>
      </c>
      <c r="E150" t="s">
        <v>1323</v>
      </c>
      <c r="F150" t="s">
        <v>1324</v>
      </c>
      <c r="G150" s="3" t="s">
        <v>911</v>
      </c>
    </row>
    <row r="151" spans="1:7">
      <c r="A151" t="s">
        <v>890</v>
      </c>
      <c r="B151" t="s">
        <v>1325</v>
      </c>
      <c r="C151" t="b">
        <v>0</v>
      </c>
      <c r="D151" t="s">
        <v>1289</v>
      </c>
      <c r="E151" t="s">
        <v>1326</v>
      </c>
      <c r="F151" t="s">
        <v>1327</v>
      </c>
    </row>
    <row r="152" spans="1:7">
      <c r="A152" t="s">
        <v>890</v>
      </c>
      <c r="B152" t="s">
        <v>1328</v>
      </c>
      <c r="C152" t="b">
        <v>0</v>
      </c>
      <c r="D152" t="s">
        <v>1289</v>
      </c>
      <c r="E152" t="s">
        <v>1329</v>
      </c>
      <c r="F152" t="s">
        <v>1330</v>
      </c>
    </row>
    <row r="153" spans="1:7">
      <c r="A153" t="s">
        <v>890</v>
      </c>
      <c r="B153" t="s">
        <v>1331</v>
      </c>
      <c r="C153" t="b">
        <v>0</v>
      </c>
      <c r="D153" t="s">
        <v>1289</v>
      </c>
      <c r="E153" t="s">
        <v>1332</v>
      </c>
      <c r="F153" t="s">
        <v>1333</v>
      </c>
    </row>
    <row r="154" spans="1:7">
      <c r="A154" t="s">
        <v>890</v>
      </c>
      <c r="B154" t="s">
        <v>1334</v>
      </c>
      <c r="C154" t="b">
        <v>0</v>
      </c>
      <c r="D154" t="s">
        <v>1289</v>
      </c>
      <c r="E154" t="s">
        <v>1335</v>
      </c>
      <c r="F154" t="s">
        <v>1336</v>
      </c>
    </row>
    <row r="155" spans="1:7">
      <c r="A155" t="s">
        <v>890</v>
      </c>
      <c r="B155" t="s">
        <v>1337</v>
      </c>
      <c r="C155" t="b">
        <v>0</v>
      </c>
      <c r="D155" t="s">
        <v>1289</v>
      </c>
      <c r="E155" t="s">
        <v>1338</v>
      </c>
      <c r="F155" t="s">
        <v>1339</v>
      </c>
    </row>
    <row r="156" spans="1:7">
      <c r="A156" t="s">
        <v>890</v>
      </c>
      <c r="B156" s="54" t="s">
        <v>1340</v>
      </c>
      <c r="C156" t="b">
        <v>0</v>
      </c>
      <c r="D156" t="s">
        <v>1289</v>
      </c>
      <c r="E156" t="s">
        <v>1341</v>
      </c>
      <c r="F156" t="s">
        <v>1342</v>
      </c>
      <c r="G156" s="3" t="s">
        <v>911</v>
      </c>
    </row>
    <row r="157" spans="1:7">
      <c r="A157" t="s">
        <v>890</v>
      </c>
      <c r="B157" s="54" t="s">
        <v>1343</v>
      </c>
      <c r="C157" t="b">
        <v>0</v>
      </c>
      <c r="D157" t="s">
        <v>1289</v>
      </c>
      <c r="E157" t="s">
        <v>1344</v>
      </c>
      <c r="F157" t="s">
        <v>1345</v>
      </c>
      <c r="G157" s="3" t="s">
        <v>911</v>
      </c>
    </row>
    <row r="158" spans="1:7">
      <c r="A158" t="s">
        <v>890</v>
      </c>
      <c r="B158" s="54" t="s">
        <v>1346</v>
      </c>
      <c r="C158" t="b">
        <v>0</v>
      </c>
      <c r="D158" t="s">
        <v>1289</v>
      </c>
      <c r="E158" t="s">
        <v>1347</v>
      </c>
      <c r="F158" t="s">
        <v>1348</v>
      </c>
    </row>
    <row r="159" spans="1:7">
      <c r="A159" t="s">
        <v>890</v>
      </c>
      <c r="B159" t="s">
        <v>1349</v>
      </c>
      <c r="C159" t="b">
        <v>0</v>
      </c>
      <c r="D159" t="s">
        <v>1289</v>
      </c>
      <c r="E159" t="s">
        <v>1350</v>
      </c>
      <c r="F159" t="s">
        <v>1351</v>
      </c>
    </row>
    <row r="160" spans="1:7">
      <c r="A160" t="s">
        <v>890</v>
      </c>
      <c r="B160" t="s">
        <v>1352</v>
      </c>
      <c r="C160" t="b">
        <v>1</v>
      </c>
      <c r="D160" t="s">
        <v>1353</v>
      </c>
      <c r="E160" t="s">
        <v>1354</v>
      </c>
      <c r="F160" t="s">
        <v>1355</v>
      </c>
    </row>
    <row r="161" spans="1:7">
      <c r="A161" t="s">
        <v>890</v>
      </c>
      <c r="B161" s="54" t="s">
        <v>1356</v>
      </c>
      <c r="C161" t="b">
        <v>0</v>
      </c>
      <c r="D161" t="s">
        <v>1353</v>
      </c>
      <c r="E161" t="s">
        <v>1357</v>
      </c>
      <c r="F161" t="s">
        <v>1358</v>
      </c>
      <c r="G161" s="3" t="s">
        <v>76</v>
      </c>
    </row>
    <row r="162" spans="1:7">
      <c r="A162" t="s">
        <v>890</v>
      </c>
      <c r="B162" s="54" t="s">
        <v>1359</v>
      </c>
      <c r="C162" t="b">
        <v>0</v>
      </c>
      <c r="D162" t="s">
        <v>1353</v>
      </c>
      <c r="E162" t="s">
        <v>1360</v>
      </c>
      <c r="F162" t="s">
        <v>1361</v>
      </c>
      <c r="G162" s="3" t="s">
        <v>76</v>
      </c>
    </row>
    <row r="163" spans="1:7">
      <c r="A163" t="s">
        <v>890</v>
      </c>
      <c r="B163" t="s">
        <v>1362</v>
      </c>
      <c r="C163" t="b">
        <v>0</v>
      </c>
      <c r="D163" t="s">
        <v>1353</v>
      </c>
      <c r="E163" t="s">
        <v>1363</v>
      </c>
      <c r="F163" t="s">
        <v>1364</v>
      </c>
      <c r="G163" s="3" t="s">
        <v>81</v>
      </c>
    </row>
    <row r="164" spans="1:7">
      <c r="A164" t="s">
        <v>890</v>
      </c>
      <c r="B164" t="s">
        <v>1365</v>
      </c>
      <c r="C164" t="b">
        <v>0</v>
      </c>
      <c r="D164" t="s">
        <v>1353</v>
      </c>
      <c r="E164" t="s">
        <v>1366</v>
      </c>
      <c r="F164" t="s">
        <v>1367</v>
      </c>
      <c r="G164" s="3" t="s">
        <v>81</v>
      </c>
    </row>
    <row r="165" spans="1:7">
      <c r="A165" t="s">
        <v>890</v>
      </c>
      <c r="B165" t="s">
        <v>1368</v>
      </c>
      <c r="C165" t="b">
        <v>0</v>
      </c>
      <c r="D165" t="s">
        <v>1353</v>
      </c>
      <c r="E165" t="s">
        <v>967</v>
      </c>
      <c r="F165" t="s">
        <v>1369</v>
      </c>
      <c r="G165" s="3" t="s">
        <v>76</v>
      </c>
    </row>
    <row r="166" spans="1:7">
      <c r="A166" t="s">
        <v>890</v>
      </c>
      <c r="B166" t="s">
        <v>1370</v>
      </c>
      <c r="C166" t="b">
        <v>1</v>
      </c>
      <c r="D166" t="s">
        <v>1353</v>
      </c>
      <c r="E166" t="s">
        <v>1371</v>
      </c>
      <c r="F166" t="s">
        <v>1372</v>
      </c>
    </row>
    <row r="167" spans="1:7">
      <c r="A167" t="s">
        <v>890</v>
      </c>
      <c r="B167" t="s">
        <v>1376</v>
      </c>
      <c r="C167" t="b">
        <v>1</v>
      </c>
      <c r="D167" t="s">
        <v>1353</v>
      </c>
      <c r="E167" t="s">
        <v>1377</v>
      </c>
      <c r="F167" t="s">
        <v>1378</v>
      </c>
      <c r="G167" s="3" t="s">
        <v>76</v>
      </c>
    </row>
    <row r="168" spans="1:7">
      <c r="A168" t="s">
        <v>890</v>
      </c>
      <c r="B168" t="s">
        <v>1373</v>
      </c>
      <c r="C168" t="b">
        <v>0</v>
      </c>
      <c r="D168" t="s">
        <v>1353</v>
      </c>
      <c r="E168" t="s">
        <v>1374</v>
      </c>
      <c r="F168" t="s">
        <v>1375</v>
      </c>
    </row>
    <row r="169" spans="1:7">
      <c r="A169" t="s">
        <v>890</v>
      </c>
      <c r="B169" t="s">
        <v>541</v>
      </c>
      <c r="C169" t="b">
        <v>0</v>
      </c>
      <c r="D169" t="s">
        <v>1196</v>
      </c>
      <c r="E169" t="s">
        <v>542</v>
      </c>
      <c r="F169" t="s">
        <v>543</v>
      </c>
      <c r="G169" s="3" t="s">
        <v>76</v>
      </c>
    </row>
    <row r="170" spans="1:7">
      <c r="A170" t="s">
        <v>890</v>
      </c>
      <c r="B170" t="s">
        <v>544</v>
      </c>
      <c r="C170" t="b">
        <v>0</v>
      </c>
      <c r="D170" t="s">
        <v>1196</v>
      </c>
      <c r="E170" t="s">
        <v>545</v>
      </c>
      <c r="F170" t="s">
        <v>546</v>
      </c>
      <c r="G170" s="3" t="s">
        <v>76</v>
      </c>
    </row>
    <row r="171" spans="1:7">
      <c r="A171" t="s">
        <v>890</v>
      </c>
      <c r="B171" t="s">
        <v>547</v>
      </c>
      <c r="C171" t="b">
        <v>0</v>
      </c>
      <c r="D171" t="s">
        <v>1196</v>
      </c>
      <c r="E171" t="s">
        <v>548</v>
      </c>
      <c r="F171" t="s">
        <v>549</v>
      </c>
      <c r="G171" s="3" t="s">
        <v>908</v>
      </c>
    </row>
    <row r="172" spans="1:7">
      <c r="A172" s="1" t="s">
        <v>890</v>
      </c>
      <c r="B172" s="1" t="s">
        <v>550</v>
      </c>
      <c r="C172" s="1" t="b">
        <v>0</v>
      </c>
      <c r="D172" s="1" t="s">
        <v>1196</v>
      </c>
      <c r="E172" s="1" t="s">
        <v>551</v>
      </c>
      <c r="F172" s="1" t="s">
        <v>552</v>
      </c>
      <c r="G172" s="3" t="s">
        <v>81</v>
      </c>
    </row>
    <row r="173" spans="1:7">
      <c r="A173" t="s">
        <v>890</v>
      </c>
      <c r="B173" t="s">
        <v>553</v>
      </c>
      <c r="C173" t="b">
        <v>0</v>
      </c>
      <c r="D173" t="s">
        <v>1196</v>
      </c>
      <c r="E173" t="s">
        <v>554</v>
      </c>
      <c r="F173" t="s">
        <v>555</v>
      </c>
      <c r="G173" s="3" t="s">
        <v>921</v>
      </c>
    </row>
    <row r="174" spans="1:7">
      <c r="A174" s="1" t="s">
        <v>890</v>
      </c>
      <c r="B174" s="1" t="s">
        <v>556</v>
      </c>
      <c r="C174" s="1" t="b">
        <v>0</v>
      </c>
      <c r="D174" s="1" t="s">
        <v>1196</v>
      </c>
      <c r="E174" s="1" t="s">
        <v>557</v>
      </c>
      <c r="F174" s="1" t="s">
        <v>558</v>
      </c>
      <c r="G174" s="3" t="s">
        <v>81</v>
      </c>
    </row>
    <row r="175" spans="1:7">
      <c r="A175" t="s">
        <v>890</v>
      </c>
      <c r="B175" s="54" t="s">
        <v>559</v>
      </c>
      <c r="C175" t="b">
        <v>0</v>
      </c>
      <c r="D175" t="s">
        <v>1196</v>
      </c>
      <c r="E175" t="s">
        <v>560</v>
      </c>
      <c r="F175" t="s">
        <v>561</v>
      </c>
      <c r="G175" s="3" t="s">
        <v>917</v>
      </c>
    </row>
    <row r="176" spans="1:7">
      <c r="A176" t="s">
        <v>890</v>
      </c>
      <c r="B176" s="54" t="s">
        <v>562</v>
      </c>
      <c r="C176" t="b">
        <v>0</v>
      </c>
      <c r="D176" t="s">
        <v>1196</v>
      </c>
      <c r="E176" t="s">
        <v>563</v>
      </c>
      <c r="F176" t="s">
        <v>564</v>
      </c>
      <c r="G176" s="3" t="s">
        <v>910</v>
      </c>
    </row>
    <row r="177" spans="1:7">
      <c r="A177" t="s">
        <v>890</v>
      </c>
      <c r="B177" s="54" t="s">
        <v>565</v>
      </c>
      <c r="C177" t="b">
        <v>0</v>
      </c>
      <c r="D177" t="s">
        <v>897</v>
      </c>
      <c r="E177" t="s">
        <v>566</v>
      </c>
      <c r="F177" t="s">
        <v>567</v>
      </c>
      <c r="G177" s="3" t="s">
        <v>76</v>
      </c>
    </row>
    <row r="178" spans="1:7">
      <c r="A178" t="s">
        <v>890</v>
      </c>
      <c r="B178" t="s">
        <v>568</v>
      </c>
      <c r="C178" t="b">
        <v>0</v>
      </c>
      <c r="D178" t="s">
        <v>897</v>
      </c>
      <c r="E178" t="s">
        <v>569</v>
      </c>
      <c r="F178" t="s">
        <v>570</v>
      </c>
      <c r="G178" s="3" t="s">
        <v>907</v>
      </c>
    </row>
    <row r="179" spans="1:7">
      <c r="A179" t="s">
        <v>890</v>
      </c>
      <c r="B179" t="s">
        <v>571</v>
      </c>
      <c r="C179" t="b">
        <v>0</v>
      </c>
      <c r="D179" t="s">
        <v>897</v>
      </c>
      <c r="E179" t="s">
        <v>572</v>
      </c>
      <c r="F179" t="s">
        <v>573</v>
      </c>
      <c r="G179" s="3" t="s">
        <v>920</v>
      </c>
    </row>
    <row r="180" spans="1:7">
      <c r="A180" t="s">
        <v>890</v>
      </c>
      <c r="B180" t="s">
        <v>574</v>
      </c>
      <c r="C180" t="b">
        <v>0</v>
      </c>
      <c r="D180" t="s">
        <v>897</v>
      </c>
      <c r="E180" t="s">
        <v>575</v>
      </c>
      <c r="F180" t="s">
        <v>576</v>
      </c>
      <c r="G180" s="3" t="s">
        <v>81</v>
      </c>
    </row>
    <row r="181" spans="1:7">
      <c r="A181" t="s">
        <v>890</v>
      </c>
      <c r="B181" s="54" t="s">
        <v>577</v>
      </c>
      <c r="C181" t="b">
        <v>0</v>
      </c>
      <c r="D181" t="s">
        <v>897</v>
      </c>
      <c r="E181" t="s">
        <v>578</v>
      </c>
      <c r="F181" t="s">
        <v>579</v>
      </c>
      <c r="G181" s="3" t="s">
        <v>81</v>
      </c>
    </row>
    <row r="182" spans="1:7">
      <c r="A182" t="s">
        <v>890</v>
      </c>
      <c r="B182" t="s">
        <v>580</v>
      </c>
      <c r="C182" t="b">
        <v>0</v>
      </c>
      <c r="D182" t="s">
        <v>897</v>
      </c>
      <c r="E182" t="s">
        <v>581</v>
      </c>
      <c r="F182" t="s">
        <v>582</v>
      </c>
      <c r="G182" s="3" t="s">
        <v>81</v>
      </c>
    </row>
    <row r="183" spans="1:7">
      <c r="A183" t="s">
        <v>890</v>
      </c>
      <c r="B183" t="s">
        <v>583</v>
      </c>
      <c r="C183" t="b">
        <v>0</v>
      </c>
      <c r="D183" t="s">
        <v>897</v>
      </c>
      <c r="E183" t="s">
        <v>584</v>
      </c>
      <c r="F183" t="s">
        <v>585</v>
      </c>
    </row>
    <row r="184" spans="1:7">
      <c r="A184" t="s">
        <v>890</v>
      </c>
      <c r="B184" t="s">
        <v>586</v>
      </c>
      <c r="C184" t="b">
        <v>0</v>
      </c>
      <c r="D184" t="s">
        <v>897</v>
      </c>
      <c r="E184" t="s">
        <v>587</v>
      </c>
      <c r="F184" t="s">
        <v>588</v>
      </c>
    </row>
    <row r="185" spans="1:7">
      <c r="A185" t="s">
        <v>890</v>
      </c>
      <c r="B185" t="s">
        <v>589</v>
      </c>
      <c r="C185" t="b">
        <v>0</v>
      </c>
      <c r="D185" t="s">
        <v>897</v>
      </c>
      <c r="E185" t="s">
        <v>1148</v>
      </c>
      <c r="F185" t="s">
        <v>1149</v>
      </c>
    </row>
    <row r="186" spans="1:7">
      <c r="A186" t="s">
        <v>890</v>
      </c>
      <c r="B186" t="s">
        <v>590</v>
      </c>
      <c r="C186" t="b">
        <v>0</v>
      </c>
      <c r="D186" t="s">
        <v>897</v>
      </c>
      <c r="E186" t="s">
        <v>591</v>
      </c>
      <c r="F186" t="s">
        <v>592</v>
      </c>
    </row>
    <row r="187" spans="1:7">
      <c r="A187" t="s">
        <v>890</v>
      </c>
      <c r="B187" t="s">
        <v>1379</v>
      </c>
      <c r="C187" t="b">
        <v>0</v>
      </c>
      <c r="D187" t="s">
        <v>1380</v>
      </c>
      <c r="E187" t="s">
        <v>467</v>
      </c>
      <c r="F187" t="s">
        <v>1381</v>
      </c>
    </row>
    <row r="188" spans="1:7">
      <c r="A188" t="s">
        <v>890</v>
      </c>
      <c r="B188" t="s">
        <v>1382</v>
      </c>
      <c r="C188" t="b">
        <v>0</v>
      </c>
      <c r="D188" t="s">
        <v>1380</v>
      </c>
      <c r="E188" t="s">
        <v>1383</v>
      </c>
      <c r="F188" t="s">
        <v>1384</v>
      </c>
      <c r="G188" s="3" t="s">
        <v>76</v>
      </c>
    </row>
    <row r="189" spans="1:7">
      <c r="A189" t="s">
        <v>890</v>
      </c>
      <c r="B189" t="s">
        <v>593</v>
      </c>
      <c r="C189" t="b">
        <v>0</v>
      </c>
      <c r="D189" t="s">
        <v>898</v>
      </c>
      <c r="E189" t="s">
        <v>594</v>
      </c>
      <c r="F189" t="s">
        <v>595</v>
      </c>
      <c r="G189" s="3" t="s">
        <v>76</v>
      </c>
    </row>
    <row r="190" spans="1:7">
      <c r="A190" s="1" t="s">
        <v>890</v>
      </c>
      <c r="B190" s="2" t="s">
        <v>596</v>
      </c>
      <c r="C190" s="1" t="b">
        <v>0</v>
      </c>
      <c r="D190" s="1" t="s">
        <v>898</v>
      </c>
      <c r="E190" s="1" t="s">
        <v>597</v>
      </c>
      <c r="F190" s="1" t="s">
        <v>598</v>
      </c>
      <c r="G190" s="3" t="s">
        <v>76</v>
      </c>
    </row>
    <row r="191" spans="1:7">
      <c r="A191" t="s">
        <v>890</v>
      </c>
      <c r="B191" t="s">
        <v>599</v>
      </c>
      <c r="C191" t="b">
        <v>0</v>
      </c>
      <c r="D191" t="s">
        <v>898</v>
      </c>
      <c r="E191" t="s">
        <v>600</v>
      </c>
      <c r="F191" t="s">
        <v>601</v>
      </c>
      <c r="G191" s="3" t="s">
        <v>81</v>
      </c>
    </row>
    <row r="192" spans="1:7">
      <c r="A192" s="1" t="s">
        <v>890</v>
      </c>
      <c r="B192" s="1" t="s">
        <v>602</v>
      </c>
      <c r="C192" s="1" t="b">
        <v>0</v>
      </c>
      <c r="D192" s="1" t="s">
        <v>898</v>
      </c>
      <c r="E192" s="1" t="s">
        <v>603</v>
      </c>
      <c r="F192" s="1" t="s">
        <v>604</v>
      </c>
      <c r="G192" s="3" t="s">
        <v>81</v>
      </c>
    </row>
    <row r="193" spans="1:7">
      <c r="A193" t="s">
        <v>890</v>
      </c>
      <c r="B193" t="s">
        <v>605</v>
      </c>
      <c r="C193" t="b">
        <v>0</v>
      </c>
      <c r="D193" t="s">
        <v>898</v>
      </c>
      <c r="E193" t="s">
        <v>606</v>
      </c>
      <c r="F193" t="s">
        <v>607</v>
      </c>
      <c r="G193" s="3" t="s">
        <v>909</v>
      </c>
    </row>
    <row r="194" spans="1:7">
      <c r="A194" s="1" t="s">
        <v>890</v>
      </c>
      <c r="B194" s="1" t="s">
        <v>608</v>
      </c>
      <c r="C194" s="1" t="b">
        <v>0</v>
      </c>
      <c r="D194" s="1" t="s">
        <v>898</v>
      </c>
      <c r="E194" s="1" t="s">
        <v>609</v>
      </c>
      <c r="F194" s="1" t="s">
        <v>610</v>
      </c>
      <c r="G194" s="3" t="s">
        <v>76</v>
      </c>
    </row>
    <row r="195" spans="1:7">
      <c r="A195" t="s">
        <v>890</v>
      </c>
      <c r="B195" t="s">
        <v>611</v>
      </c>
      <c r="C195" t="b">
        <v>0</v>
      </c>
      <c r="D195" t="s">
        <v>898</v>
      </c>
      <c r="E195" t="s">
        <v>612</v>
      </c>
      <c r="F195" t="s">
        <v>613</v>
      </c>
      <c r="G195" s="3" t="s">
        <v>81</v>
      </c>
    </row>
    <row r="196" spans="1:7">
      <c r="A196" t="s">
        <v>890</v>
      </c>
      <c r="B196" t="s">
        <v>614</v>
      </c>
      <c r="C196" t="b">
        <v>0</v>
      </c>
      <c r="D196" t="s">
        <v>898</v>
      </c>
      <c r="E196" t="s">
        <v>615</v>
      </c>
      <c r="F196" t="s">
        <v>616</v>
      </c>
      <c r="G196" s="3" t="s">
        <v>909</v>
      </c>
    </row>
    <row r="197" spans="1:7">
      <c r="A197" t="s">
        <v>890</v>
      </c>
      <c r="B197" t="s">
        <v>617</v>
      </c>
      <c r="C197" t="b">
        <v>0</v>
      </c>
      <c r="D197" t="s">
        <v>898</v>
      </c>
      <c r="E197" t="s">
        <v>618</v>
      </c>
      <c r="F197" t="s">
        <v>619</v>
      </c>
    </row>
    <row r="198" spans="1:7">
      <c r="A198" t="s">
        <v>890</v>
      </c>
      <c r="B198" t="s">
        <v>620</v>
      </c>
      <c r="C198" t="b">
        <v>0</v>
      </c>
      <c r="D198" t="s">
        <v>898</v>
      </c>
      <c r="E198" t="s">
        <v>621</v>
      </c>
      <c r="F198" t="s">
        <v>622</v>
      </c>
    </row>
    <row r="199" spans="1:7">
      <c r="A199" t="s">
        <v>890</v>
      </c>
      <c r="B199" t="s">
        <v>623</v>
      </c>
      <c r="C199" t="b">
        <v>0</v>
      </c>
      <c r="D199" t="s">
        <v>898</v>
      </c>
      <c r="E199" t="s">
        <v>624</v>
      </c>
      <c r="F199" t="s">
        <v>625</v>
      </c>
    </row>
    <row r="200" spans="1:7">
      <c r="A200" t="s">
        <v>890</v>
      </c>
      <c r="B200" t="s">
        <v>626</v>
      </c>
      <c r="C200" t="b">
        <v>0</v>
      </c>
      <c r="D200" t="s">
        <v>898</v>
      </c>
      <c r="E200" t="s">
        <v>627</v>
      </c>
      <c r="F200" t="s">
        <v>628</v>
      </c>
    </row>
    <row r="201" spans="1:7">
      <c r="A201" t="s">
        <v>890</v>
      </c>
      <c r="B201" s="54" t="s">
        <v>629</v>
      </c>
      <c r="C201" t="b">
        <v>0</v>
      </c>
      <c r="D201" t="s">
        <v>898</v>
      </c>
      <c r="E201" t="s">
        <v>630</v>
      </c>
      <c r="F201" t="s">
        <v>631</v>
      </c>
    </row>
    <row r="202" spans="1:7">
      <c r="A202" t="s">
        <v>890</v>
      </c>
      <c r="B202" t="s">
        <v>632</v>
      </c>
      <c r="C202" t="b">
        <v>0</v>
      </c>
      <c r="D202" t="s">
        <v>898</v>
      </c>
      <c r="E202" t="s">
        <v>633</v>
      </c>
      <c r="F202" t="s">
        <v>634</v>
      </c>
    </row>
    <row r="203" spans="1:7">
      <c r="A203" t="s">
        <v>890</v>
      </c>
      <c r="B203" t="s">
        <v>635</v>
      </c>
      <c r="C203" t="b">
        <v>0</v>
      </c>
      <c r="D203" t="s">
        <v>898</v>
      </c>
      <c r="E203" t="s">
        <v>636</v>
      </c>
      <c r="F203" t="s">
        <v>637</v>
      </c>
    </row>
    <row r="204" spans="1:7">
      <c r="A204" t="s">
        <v>890</v>
      </c>
      <c r="B204" t="s">
        <v>638</v>
      </c>
      <c r="C204" t="b">
        <v>0</v>
      </c>
      <c r="D204" t="s">
        <v>898</v>
      </c>
      <c r="E204" t="s">
        <v>639</v>
      </c>
      <c r="F204" t="s">
        <v>640</v>
      </c>
    </row>
    <row r="205" spans="1:7">
      <c r="A205" t="s">
        <v>890</v>
      </c>
      <c r="B205" s="54" t="s">
        <v>641</v>
      </c>
      <c r="C205" t="b">
        <v>0</v>
      </c>
      <c r="D205" t="s">
        <v>898</v>
      </c>
      <c r="E205" t="s">
        <v>642</v>
      </c>
      <c r="F205" t="s">
        <v>643</v>
      </c>
      <c r="G205" s="3" t="s">
        <v>913</v>
      </c>
    </row>
    <row r="206" spans="1:7">
      <c r="A206" t="s">
        <v>890</v>
      </c>
      <c r="B206" t="s">
        <v>644</v>
      </c>
      <c r="C206" t="b">
        <v>0</v>
      </c>
      <c r="D206" t="s">
        <v>899</v>
      </c>
      <c r="E206" t="s">
        <v>645</v>
      </c>
      <c r="F206" t="s">
        <v>646</v>
      </c>
      <c r="G206" s="3" t="s">
        <v>913</v>
      </c>
    </row>
    <row r="207" spans="1:7">
      <c r="A207" t="s">
        <v>890</v>
      </c>
      <c r="B207" t="s">
        <v>647</v>
      </c>
      <c r="C207" t="b">
        <v>0</v>
      </c>
      <c r="D207" t="s">
        <v>899</v>
      </c>
      <c r="E207" t="s">
        <v>648</v>
      </c>
      <c r="F207" t="s">
        <v>649</v>
      </c>
      <c r="G207" s="3" t="s">
        <v>76</v>
      </c>
    </row>
    <row r="208" spans="1:7">
      <c r="A208" t="s">
        <v>890</v>
      </c>
      <c r="B208" s="54" t="s">
        <v>650</v>
      </c>
      <c r="C208" t="b">
        <v>0</v>
      </c>
      <c r="D208" t="s">
        <v>899</v>
      </c>
      <c r="E208" t="s">
        <v>651</v>
      </c>
      <c r="F208" t="s">
        <v>652</v>
      </c>
      <c r="G208" s="3" t="s">
        <v>76</v>
      </c>
    </row>
    <row r="209" spans="1:7">
      <c r="A209" t="s">
        <v>890</v>
      </c>
      <c r="B209" t="s">
        <v>653</v>
      </c>
      <c r="C209" t="b">
        <v>0</v>
      </c>
      <c r="D209" t="s">
        <v>899</v>
      </c>
      <c r="E209" t="s">
        <v>654</v>
      </c>
      <c r="F209" t="s">
        <v>655</v>
      </c>
      <c r="G209" s="3" t="s">
        <v>76</v>
      </c>
    </row>
    <row r="210" spans="1:7">
      <c r="A210" s="1" t="s">
        <v>890</v>
      </c>
      <c r="B210" s="1" t="s">
        <v>656</v>
      </c>
      <c r="C210" s="1" t="b">
        <v>0</v>
      </c>
      <c r="D210" s="1" t="s">
        <v>899</v>
      </c>
      <c r="E210" s="1" t="s">
        <v>657</v>
      </c>
      <c r="F210" s="1" t="s">
        <v>658</v>
      </c>
      <c r="G210" s="3" t="s">
        <v>905</v>
      </c>
    </row>
    <row r="211" spans="1:7">
      <c r="A211" t="s">
        <v>890</v>
      </c>
      <c r="B211" t="s">
        <v>659</v>
      </c>
      <c r="C211" t="b">
        <v>0</v>
      </c>
      <c r="D211" t="s">
        <v>899</v>
      </c>
      <c r="E211" t="s">
        <v>660</v>
      </c>
      <c r="F211" t="s">
        <v>661</v>
      </c>
    </row>
    <row r="212" spans="1:7">
      <c r="A212" t="s">
        <v>890</v>
      </c>
      <c r="B212" t="s">
        <v>662</v>
      </c>
      <c r="C212" t="b">
        <v>0</v>
      </c>
      <c r="D212" t="s">
        <v>899</v>
      </c>
      <c r="E212" t="s">
        <v>663</v>
      </c>
      <c r="F212" t="s">
        <v>664</v>
      </c>
    </row>
    <row r="213" spans="1:7">
      <c r="A213" t="s">
        <v>890</v>
      </c>
      <c r="B213" t="s">
        <v>665</v>
      </c>
      <c r="C213" t="b">
        <v>0</v>
      </c>
      <c r="D213" t="s">
        <v>899</v>
      </c>
      <c r="E213" t="s">
        <v>666</v>
      </c>
      <c r="F213" t="s">
        <v>667</v>
      </c>
    </row>
    <row r="214" spans="1:7">
      <c r="A214" t="s">
        <v>890</v>
      </c>
      <c r="B214" t="s">
        <v>668</v>
      </c>
      <c r="C214" t="b">
        <v>0</v>
      </c>
      <c r="D214" t="s">
        <v>899</v>
      </c>
      <c r="E214" t="s">
        <v>669</v>
      </c>
      <c r="F214" t="s">
        <v>670</v>
      </c>
      <c r="G214" s="3" t="s">
        <v>81</v>
      </c>
    </row>
    <row r="215" spans="1:7">
      <c r="A215" t="s">
        <v>890</v>
      </c>
      <c r="B215" t="s">
        <v>671</v>
      </c>
      <c r="C215" t="b">
        <v>0</v>
      </c>
      <c r="D215" t="s">
        <v>899</v>
      </c>
      <c r="E215" t="s">
        <v>672</v>
      </c>
      <c r="F215" t="s">
        <v>673</v>
      </c>
      <c r="G215" s="3" t="s">
        <v>81</v>
      </c>
    </row>
    <row r="216" spans="1:7">
      <c r="A216" t="s">
        <v>890</v>
      </c>
      <c r="B216" t="s">
        <v>674</v>
      </c>
      <c r="C216" t="b">
        <v>0</v>
      </c>
      <c r="D216" t="s">
        <v>899</v>
      </c>
      <c r="E216" t="s">
        <v>675</v>
      </c>
      <c r="F216" t="s">
        <v>676</v>
      </c>
      <c r="G216" s="3" t="s">
        <v>76</v>
      </c>
    </row>
    <row r="217" spans="1:7">
      <c r="A217" t="s">
        <v>890</v>
      </c>
      <c r="B217" t="s">
        <v>677</v>
      </c>
      <c r="C217" t="b">
        <v>0</v>
      </c>
      <c r="D217" t="s">
        <v>899</v>
      </c>
      <c r="E217" t="s">
        <v>678</v>
      </c>
      <c r="F217" t="s">
        <v>679</v>
      </c>
      <c r="G217" s="3" t="s">
        <v>81</v>
      </c>
    </row>
    <row r="218" spans="1:7">
      <c r="A218" t="s">
        <v>890</v>
      </c>
      <c r="B218" t="s">
        <v>680</v>
      </c>
      <c r="C218" t="b">
        <v>0</v>
      </c>
      <c r="D218" t="s">
        <v>899</v>
      </c>
      <c r="E218" t="s">
        <v>681</v>
      </c>
      <c r="F218" t="s">
        <v>682</v>
      </c>
      <c r="G218" s="3" t="s">
        <v>907</v>
      </c>
    </row>
    <row r="219" spans="1:7">
      <c r="A219" t="s">
        <v>890</v>
      </c>
      <c r="B219" t="s">
        <v>683</v>
      </c>
      <c r="C219" t="b">
        <v>0</v>
      </c>
      <c r="D219" t="s">
        <v>899</v>
      </c>
      <c r="E219" t="s">
        <v>684</v>
      </c>
      <c r="F219" t="s">
        <v>685</v>
      </c>
      <c r="G219" s="3" t="s">
        <v>907</v>
      </c>
    </row>
    <row r="220" spans="1:7">
      <c r="A220" s="1" t="s">
        <v>890</v>
      </c>
      <c r="B220" s="1" t="s">
        <v>686</v>
      </c>
      <c r="C220" s="1" t="b">
        <v>0</v>
      </c>
      <c r="D220" s="1" t="s">
        <v>899</v>
      </c>
      <c r="E220" s="1" t="s">
        <v>687</v>
      </c>
      <c r="F220" s="1" t="s">
        <v>688</v>
      </c>
    </row>
    <row r="221" spans="1:7">
      <c r="A221" t="s">
        <v>890</v>
      </c>
      <c r="B221" s="54" t="s">
        <v>689</v>
      </c>
      <c r="C221" t="b">
        <v>0</v>
      </c>
      <c r="D221" t="s">
        <v>899</v>
      </c>
      <c r="E221" t="s">
        <v>690</v>
      </c>
      <c r="F221" t="s">
        <v>691</v>
      </c>
    </row>
    <row r="222" spans="1:7">
      <c r="A222" t="s">
        <v>890</v>
      </c>
      <c r="B222" s="54" t="s">
        <v>692</v>
      </c>
      <c r="C222" t="b">
        <v>0</v>
      </c>
      <c r="D222" t="s">
        <v>899</v>
      </c>
      <c r="E222" t="s">
        <v>693</v>
      </c>
      <c r="F222" t="s">
        <v>694</v>
      </c>
    </row>
    <row r="223" spans="1:7">
      <c r="A223" t="s">
        <v>890</v>
      </c>
      <c r="B223" s="54" t="s">
        <v>695</v>
      </c>
      <c r="C223" t="b">
        <v>0</v>
      </c>
      <c r="D223" t="s">
        <v>899</v>
      </c>
      <c r="E223" t="s">
        <v>696</v>
      </c>
      <c r="F223" t="s">
        <v>697</v>
      </c>
    </row>
    <row r="224" spans="1:7">
      <c r="A224" t="s">
        <v>890</v>
      </c>
      <c r="B224" t="s">
        <v>698</v>
      </c>
      <c r="C224" t="b">
        <v>0</v>
      </c>
      <c r="D224" t="s">
        <v>899</v>
      </c>
      <c r="E224" t="s">
        <v>699</v>
      </c>
      <c r="F224" t="s">
        <v>700</v>
      </c>
    </row>
    <row r="225" spans="1:7">
      <c r="A225" t="s">
        <v>890</v>
      </c>
      <c r="B225" t="s">
        <v>701</v>
      </c>
      <c r="C225" t="b">
        <v>0</v>
      </c>
      <c r="D225" t="s">
        <v>899</v>
      </c>
      <c r="E225" t="s">
        <v>702</v>
      </c>
      <c r="F225" t="s">
        <v>703</v>
      </c>
    </row>
    <row r="226" spans="1:7">
      <c r="A226" t="s">
        <v>890</v>
      </c>
      <c r="B226" t="s">
        <v>704</v>
      </c>
      <c r="C226" t="b">
        <v>0</v>
      </c>
      <c r="D226" t="s">
        <v>899</v>
      </c>
      <c r="E226" t="s">
        <v>705</v>
      </c>
      <c r="F226" t="s">
        <v>706</v>
      </c>
    </row>
    <row r="227" spans="1:7">
      <c r="A227" t="s">
        <v>890</v>
      </c>
      <c r="B227" s="54" t="s">
        <v>707</v>
      </c>
      <c r="C227" t="b">
        <v>0</v>
      </c>
      <c r="D227" t="s">
        <v>899</v>
      </c>
      <c r="E227" t="s">
        <v>708</v>
      </c>
      <c r="F227" t="s">
        <v>709</v>
      </c>
    </row>
    <row r="228" spans="1:7">
      <c r="A228" t="s">
        <v>890</v>
      </c>
      <c r="B228" t="s">
        <v>710</v>
      </c>
      <c r="C228" t="b">
        <v>0</v>
      </c>
      <c r="D228" t="s">
        <v>899</v>
      </c>
      <c r="E228" t="s">
        <v>711</v>
      </c>
      <c r="F228" t="s">
        <v>712</v>
      </c>
    </row>
    <row r="229" spans="1:7">
      <c r="A229" t="s">
        <v>890</v>
      </c>
      <c r="B229" t="s">
        <v>713</v>
      </c>
      <c r="C229" t="b">
        <v>0</v>
      </c>
      <c r="D229" t="s">
        <v>899</v>
      </c>
      <c r="E229" t="s">
        <v>714</v>
      </c>
      <c r="F229" t="s">
        <v>715</v>
      </c>
    </row>
    <row r="230" spans="1:7">
      <c r="A230" t="s">
        <v>890</v>
      </c>
      <c r="B230" s="54" t="s">
        <v>716</v>
      </c>
      <c r="C230" t="b">
        <v>0</v>
      </c>
      <c r="D230" t="s">
        <v>899</v>
      </c>
      <c r="E230" t="s">
        <v>717</v>
      </c>
      <c r="F230" t="s">
        <v>718</v>
      </c>
    </row>
    <row r="231" spans="1:7">
      <c r="A231" t="s">
        <v>890</v>
      </c>
      <c r="B231" t="s">
        <v>719</v>
      </c>
      <c r="C231" t="b">
        <v>0</v>
      </c>
      <c r="D231" t="s">
        <v>899</v>
      </c>
      <c r="E231" t="s">
        <v>720</v>
      </c>
      <c r="F231" t="s">
        <v>721</v>
      </c>
    </row>
    <row r="232" spans="1:7">
      <c r="A232" t="s">
        <v>890</v>
      </c>
      <c r="B232" s="54" t="s">
        <v>722</v>
      </c>
      <c r="C232" t="b">
        <v>0</v>
      </c>
      <c r="D232" t="s">
        <v>899</v>
      </c>
      <c r="E232" t="s">
        <v>723</v>
      </c>
      <c r="F232" t="s">
        <v>724</v>
      </c>
    </row>
    <row r="233" spans="1:7">
      <c r="A233" t="s">
        <v>890</v>
      </c>
      <c r="B233" t="s">
        <v>725</v>
      </c>
      <c r="C233" t="b">
        <v>0</v>
      </c>
      <c r="D233" t="s">
        <v>900</v>
      </c>
      <c r="E233" t="s">
        <v>726</v>
      </c>
      <c r="F233" t="s">
        <v>727</v>
      </c>
    </row>
    <row r="234" spans="1:7">
      <c r="A234" t="s">
        <v>890</v>
      </c>
      <c r="B234" t="s">
        <v>728</v>
      </c>
      <c r="C234" t="b">
        <v>0</v>
      </c>
      <c r="D234" t="s">
        <v>900</v>
      </c>
      <c r="E234" t="s">
        <v>729</v>
      </c>
      <c r="F234" t="s">
        <v>730</v>
      </c>
      <c r="G234" s="3" t="s">
        <v>911</v>
      </c>
    </row>
    <row r="235" spans="1:7">
      <c r="A235" t="s">
        <v>890</v>
      </c>
      <c r="B235" t="s">
        <v>731</v>
      </c>
      <c r="C235" t="b">
        <v>0</v>
      </c>
      <c r="D235" t="s">
        <v>900</v>
      </c>
      <c r="E235" t="s">
        <v>732</v>
      </c>
      <c r="F235" t="s">
        <v>733</v>
      </c>
      <c r="G235" s="3" t="s">
        <v>911</v>
      </c>
    </row>
    <row r="236" spans="1:7">
      <c r="A236" s="1" t="s">
        <v>890</v>
      </c>
      <c r="B236" s="1" t="s">
        <v>734</v>
      </c>
      <c r="C236" s="1" t="b">
        <v>0</v>
      </c>
      <c r="D236" s="1" t="s">
        <v>900</v>
      </c>
      <c r="E236" s="1" t="s">
        <v>735</v>
      </c>
      <c r="F236" s="1" t="s">
        <v>736</v>
      </c>
    </row>
    <row r="237" spans="1:7">
      <c r="A237" t="s">
        <v>890</v>
      </c>
      <c r="B237" t="s">
        <v>737</v>
      </c>
      <c r="C237" t="b">
        <v>0</v>
      </c>
      <c r="D237" t="s">
        <v>900</v>
      </c>
      <c r="E237" t="s">
        <v>738</v>
      </c>
      <c r="F237" t="s">
        <v>739</v>
      </c>
    </row>
    <row r="238" spans="1:7">
      <c r="A238" t="s">
        <v>890</v>
      </c>
      <c r="B238" s="54" t="s">
        <v>740</v>
      </c>
      <c r="C238" t="b">
        <v>0</v>
      </c>
      <c r="D238" t="s">
        <v>900</v>
      </c>
      <c r="E238" t="s">
        <v>741</v>
      </c>
      <c r="F238" t="s">
        <v>742</v>
      </c>
    </row>
    <row r="239" spans="1:7">
      <c r="A239" t="s">
        <v>890</v>
      </c>
      <c r="B239" t="s">
        <v>743</v>
      </c>
      <c r="C239" t="b">
        <v>0</v>
      </c>
      <c r="D239" t="s">
        <v>900</v>
      </c>
      <c r="E239" t="s">
        <v>744</v>
      </c>
      <c r="F239" t="s">
        <v>745</v>
      </c>
    </row>
    <row r="240" spans="1:7">
      <c r="A240" s="1" t="s">
        <v>890</v>
      </c>
      <c r="B240" s="1" t="s">
        <v>746</v>
      </c>
      <c r="C240" s="1" t="b">
        <v>0</v>
      </c>
      <c r="D240" s="1" t="s">
        <v>900</v>
      </c>
      <c r="E240" s="1" t="s">
        <v>747</v>
      </c>
      <c r="F240" s="1" t="s">
        <v>748</v>
      </c>
    </row>
    <row r="241" spans="1:6">
      <c r="A241" t="s">
        <v>890</v>
      </c>
      <c r="B241" s="54" t="s">
        <v>749</v>
      </c>
      <c r="C241" t="b">
        <v>0</v>
      </c>
      <c r="D241" t="s">
        <v>900</v>
      </c>
      <c r="E241" t="s">
        <v>750</v>
      </c>
      <c r="F241" t="s">
        <v>751</v>
      </c>
    </row>
    <row r="242" spans="1:6">
      <c r="A242" t="s">
        <v>890</v>
      </c>
      <c r="B242" s="54" t="s">
        <v>752</v>
      </c>
      <c r="C242" t="b">
        <v>0</v>
      </c>
      <c r="D242" t="s">
        <v>900</v>
      </c>
      <c r="E242" t="s">
        <v>753</v>
      </c>
      <c r="F242" t="s">
        <v>754</v>
      </c>
    </row>
    <row r="243" spans="1:6">
      <c r="A243" t="s">
        <v>890</v>
      </c>
      <c r="B243" t="s">
        <v>755</v>
      </c>
      <c r="C243" t="b">
        <v>0</v>
      </c>
      <c r="D243" t="s">
        <v>900</v>
      </c>
      <c r="E243" t="s">
        <v>756</v>
      </c>
      <c r="F243" t="s">
        <v>757</v>
      </c>
    </row>
    <row r="244" spans="1:6">
      <c r="A244" t="s">
        <v>890</v>
      </c>
      <c r="B244" t="s">
        <v>758</v>
      </c>
      <c r="C244" t="b">
        <v>0</v>
      </c>
      <c r="D244" t="s">
        <v>900</v>
      </c>
      <c r="E244" t="s">
        <v>759</v>
      </c>
      <c r="F244" t="s">
        <v>760</v>
      </c>
    </row>
    <row r="245" spans="1:6">
      <c r="A245" t="s">
        <v>890</v>
      </c>
      <c r="B245" t="s">
        <v>761</v>
      </c>
      <c r="C245" t="b">
        <v>0</v>
      </c>
      <c r="D245" t="s">
        <v>900</v>
      </c>
      <c r="E245" t="s">
        <v>762</v>
      </c>
      <c r="F245" t="s">
        <v>763</v>
      </c>
    </row>
    <row r="246" spans="1:6">
      <c r="A246" t="s">
        <v>890</v>
      </c>
      <c r="B246" t="s">
        <v>764</v>
      </c>
      <c r="C246" t="b">
        <v>0</v>
      </c>
      <c r="D246" t="s">
        <v>900</v>
      </c>
      <c r="E246" t="s">
        <v>765</v>
      </c>
      <c r="F246" t="s">
        <v>766</v>
      </c>
    </row>
    <row r="247" spans="1:6">
      <c r="A247" t="s">
        <v>890</v>
      </c>
      <c r="B247" t="s">
        <v>767</v>
      </c>
      <c r="C247" t="b">
        <v>1</v>
      </c>
      <c r="D247" t="s">
        <v>900</v>
      </c>
      <c r="E247" t="s">
        <v>768</v>
      </c>
      <c r="F247" t="s">
        <v>769</v>
      </c>
    </row>
    <row r="248" spans="1:6">
      <c r="A248" s="1" t="s">
        <v>890</v>
      </c>
      <c r="B248" s="2" t="s">
        <v>770</v>
      </c>
      <c r="C248" s="1" t="b">
        <v>0</v>
      </c>
      <c r="D248" s="1" t="s">
        <v>900</v>
      </c>
      <c r="E248" s="1" t="s">
        <v>771</v>
      </c>
      <c r="F248" s="1" t="s">
        <v>772</v>
      </c>
    </row>
    <row r="249" spans="1:6">
      <c r="A249" t="s">
        <v>890</v>
      </c>
      <c r="B249" t="s">
        <v>773</v>
      </c>
      <c r="C249" t="b">
        <v>0</v>
      </c>
      <c r="D249" t="s">
        <v>900</v>
      </c>
      <c r="E249" t="s">
        <v>774</v>
      </c>
      <c r="F249" t="s">
        <v>775</v>
      </c>
    </row>
    <row r="250" spans="1:6">
      <c r="A250" t="s">
        <v>890</v>
      </c>
      <c r="B250" t="s">
        <v>776</v>
      </c>
      <c r="C250" t="b">
        <v>0</v>
      </c>
      <c r="D250" t="s">
        <v>900</v>
      </c>
      <c r="E250" t="s">
        <v>777</v>
      </c>
      <c r="F250" t="s">
        <v>778</v>
      </c>
    </row>
    <row r="251" spans="1:6">
      <c r="A251" t="s">
        <v>890</v>
      </c>
      <c r="B251" t="s">
        <v>779</v>
      </c>
      <c r="C251" t="b">
        <v>0</v>
      </c>
      <c r="D251" t="s">
        <v>900</v>
      </c>
      <c r="E251" t="s">
        <v>780</v>
      </c>
      <c r="F251" t="s">
        <v>781</v>
      </c>
    </row>
    <row r="252" spans="1:6">
      <c r="A252" t="s">
        <v>890</v>
      </c>
      <c r="B252" t="s">
        <v>782</v>
      </c>
      <c r="C252" t="b">
        <v>0</v>
      </c>
      <c r="D252" t="s">
        <v>900</v>
      </c>
      <c r="E252" t="s">
        <v>783</v>
      </c>
      <c r="F252" t="s">
        <v>784</v>
      </c>
    </row>
    <row r="253" spans="1:6">
      <c r="A253" t="s">
        <v>890</v>
      </c>
      <c r="B253" t="s">
        <v>785</v>
      </c>
      <c r="C253" t="b">
        <v>0</v>
      </c>
      <c r="D253" t="s">
        <v>900</v>
      </c>
      <c r="E253" t="s">
        <v>786</v>
      </c>
      <c r="F253" t="s">
        <v>787</v>
      </c>
    </row>
    <row r="254" spans="1:6">
      <c r="A254" t="s">
        <v>890</v>
      </c>
      <c r="B254" t="s">
        <v>788</v>
      </c>
      <c r="C254" t="b">
        <v>0</v>
      </c>
      <c r="D254" t="s">
        <v>900</v>
      </c>
      <c r="E254" t="s">
        <v>789</v>
      </c>
      <c r="F254" t="s">
        <v>790</v>
      </c>
    </row>
    <row r="255" spans="1:6">
      <c r="A255" t="s">
        <v>890</v>
      </c>
      <c r="B255" t="s">
        <v>791</v>
      </c>
      <c r="C255" t="b">
        <v>0</v>
      </c>
      <c r="D255" t="s">
        <v>900</v>
      </c>
      <c r="E255" t="s">
        <v>792</v>
      </c>
      <c r="F255" t="s">
        <v>793</v>
      </c>
    </row>
    <row r="256" spans="1:6">
      <c r="A256" s="1" t="s">
        <v>890</v>
      </c>
      <c r="B256" s="1" t="s">
        <v>794</v>
      </c>
      <c r="C256" s="1" t="b">
        <v>0</v>
      </c>
      <c r="D256" s="1" t="s">
        <v>900</v>
      </c>
      <c r="E256" s="1" t="s">
        <v>795</v>
      </c>
      <c r="F256" s="1" t="s">
        <v>796</v>
      </c>
    </row>
    <row r="257" spans="1:6">
      <c r="A257" t="s">
        <v>890</v>
      </c>
      <c r="B257" t="s">
        <v>797</v>
      </c>
      <c r="C257" t="b">
        <v>0</v>
      </c>
      <c r="D257" t="s">
        <v>900</v>
      </c>
      <c r="E257" t="s">
        <v>798</v>
      </c>
      <c r="F257" t="s">
        <v>799</v>
      </c>
    </row>
    <row r="258" spans="1:6">
      <c r="A258" s="1" t="s">
        <v>890</v>
      </c>
      <c r="B258" s="2" t="s">
        <v>800</v>
      </c>
      <c r="C258" s="1" t="b">
        <v>0</v>
      </c>
      <c r="D258" s="1" t="s">
        <v>900</v>
      </c>
      <c r="E258" s="1" t="s">
        <v>801</v>
      </c>
      <c r="F258" s="1" t="s">
        <v>802</v>
      </c>
    </row>
    <row r="259" spans="1:6">
      <c r="A259" t="s">
        <v>890</v>
      </c>
      <c r="B259" t="s">
        <v>803</v>
      </c>
      <c r="C259" t="b">
        <v>0</v>
      </c>
      <c r="D259" t="s">
        <v>900</v>
      </c>
      <c r="E259" t="s">
        <v>804</v>
      </c>
      <c r="F259" t="s">
        <v>805</v>
      </c>
    </row>
    <row r="260" spans="1:6">
      <c r="A260" s="1" t="s">
        <v>890</v>
      </c>
      <c r="B260" s="1" t="s">
        <v>806</v>
      </c>
      <c r="C260" s="1" t="b">
        <v>0</v>
      </c>
      <c r="D260" s="1" t="s">
        <v>900</v>
      </c>
      <c r="E260" s="1" t="s">
        <v>807</v>
      </c>
      <c r="F260" s="1" t="s">
        <v>808</v>
      </c>
    </row>
    <row r="261" spans="1:6">
      <c r="A261" t="s">
        <v>890</v>
      </c>
      <c r="B261" t="s">
        <v>809</v>
      </c>
      <c r="C261" t="b">
        <v>0</v>
      </c>
      <c r="D261" t="s">
        <v>900</v>
      </c>
      <c r="E261" t="s">
        <v>810</v>
      </c>
      <c r="F261" t="s">
        <v>811</v>
      </c>
    </row>
    <row r="262" spans="1:6">
      <c r="A262" s="1" t="s">
        <v>890</v>
      </c>
      <c r="B262" s="2" t="s">
        <v>812</v>
      </c>
      <c r="C262" s="1" t="b">
        <v>0</v>
      </c>
      <c r="D262" s="2" t="s">
        <v>900</v>
      </c>
      <c r="E262" s="1" t="s">
        <v>813</v>
      </c>
      <c r="F262" s="1" t="s">
        <v>814</v>
      </c>
    </row>
    <row r="263" spans="1:6">
      <c r="A263" t="s">
        <v>890</v>
      </c>
      <c r="B263" t="s">
        <v>815</v>
      </c>
      <c r="C263" t="b">
        <v>0</v>
      </c>
      <c r="D263" t="s">
        <v>901</v>
      </c>
      <c r="E263" t="s">
        <v>816</v>
      </c>
      <c r="F263" t="s">
        <v>817</v>
      </c>
    </row>
    <row r="264" spans="1:6">
      <c r="A264" t="s">
        <v>890</v>
      </c>
      <c r="B264" t="s">
        <v>818</v>
      </c>
      <c r="C264" t="b">
        <v>0</v>
      </c>
      <c r="D264" t="s">
        <v>901</v>
      </c>
      <c r="E264" t="s">
        <v>819</v>
      </c>
      <c r="F264" t="s">
        <v>820</v>
      </c>
    </row>
    <row r="265" spans="1:6">
      <c r="A265" t="s">
        <v>890</v>
      </c>
      <c r="B265" t="s">
        <v>821</v>
      </c>
      <c r="C265" t="b">
        <v>0</v>
      </c>
      <c r="D265" t="s">
        <v>901</v>
      </c>
      <c r="E265" t="s">
        <v>822</v>
      </c>
      <c r="F265" t="s">
        <v>823</v>
      </c>
    </row>
    <row r="266" spans="1:6">
      <c r="A266" t="s">
        <v>890</v>
      </c>
      <c r="B266" s="54" t="s">
        <v>824</v>
      </c>
      <c r="C266" t="b">
        <v>0</v>
      </c>
      <c r="D266" t="s">
        <v>901</v>
      </c>
      <c r="E266" t="s">
        <v>825</v>
      </c>
      <c r="F266" t="s">
        <v>826</v>
      </c>
    </row>
    <row r="267" spans="1:6">
      <c r="A267" t="s">
        <v>890</v>
      </c>
      <c r="B267" s="54" t="s">
        <v>827</v>
      </c>
      <c r="C267" t="b">
        <v>0</v>
      </c>
      <c r="D267" t="s">
        <v>901</v>
      </c>
      <c r="E267" t="s">
        <v>828</v>
      </c>
      <c r="F267" t="s">
        <v>829</v>
      </c>
    </row>
    <row r="268" spans="1:6">
      <c r="A268" t="s">
        <v>890</v>
      </c>
      <c r="B268" t="s">
        <v>830</v>
      </c>
      <c r="C268" t="b">
        <v>0</v>
      </c>
      <c r="D268" t="s">
        <v>901</v>
      </c>
      <c r="E268" t="s">
        <v>831</v>
      </c>
      <c r="F268" t="s">
        <v>832</v>
      </c>
    </row>
    <row r="269" spans="1:6">
      <c r="A269" t="s">
        <v>890</v>
      </c>
      <c r="B269" t="s">
        <v>833</v>
      </c>
      <c r="C269" t="b">
        <v>0</v>
      </c>
      <c r="D269" t="s">
        <v>901</v>
      </c>
      <c r="E269" t="s">
        <v>834</v>
      </c>
      <c r="F269" t="s">
        <v>835</v>
      </c>
    </row>
    <row r="270" spans="1:6">
      <c r="A270" t="s">
        <v>890</v>
      </c>
      <c r="B270" s="54" t="s">
        <v>836</v>
      </c>
      <c r="C270" t="b">
        <v>0</v>
      </c>
      <c r="D270" t="s">
        <v>901</v>
      </c>
      <c r="E270" t="s">
        <v>837</v>
      </c>
      <c r="F270" t="s">
        <v>838</v>
      </c>
    </row>
    <row r="271" spans="1:6">
      <c r="A271" t="s">
        <v>890</v>
      </c>
      <c r="B271" t="s">
        <v>839</v>
      </c>
      <c r="C271" t="b">
        <v>0</v>
      </c>
      <c r="D271" t="s">
        <v>901</v>
      </c>
      <c r="E271" t="s">
        <v>840</v>
      </c>
      <c r="F271" t="s">
        <v>841</v>
      </c>
    </row>
    <row r="272" spans="1:6">
      <c r="A272" s="1" t="s">
        <v>890</v>
      </c>
      <c r="B272" s="1" t="s">
        <v>842</v>
      </c>
      <c r="C272" s="1" t="b">
        <v>0</v>
      </c>
      <c r="D272" s="2" t="s">
        <v>901</v>
      </c>
      <c r="E272" s="1" t="s">
        <v>843</v>
      </c>
      <c r="F272" s="1" t="s">
        <v>844</v>
      </c>
    </row>
    <row r="273" spans="1:6">
      <c r="A273" t="s">
        <v>890</v>
      </c>
      <c r="B273" t="s">
        <v>845</v>
      </c>
      <c r="C273" t="b">
        <v>0</v>
      </c>
      <c r="D273" t="s">
        <v>901</v>
      </c>
      <c r="E273" t="s">
        <v>846</v>
      </c>
      <c r="F273" t="s">
        <v>847</v>
      </c>
    </row>
    <row r="274" spans="1:6">
      <c r="A274" s="1" t="s">
        <v>890</v>
      </c>
      <c r="B274" s="2" t="s">
        <v>848</v>
      </c>
      <c r="C274" s="1" t="b">
        <v>0</v>
      </c>
      <c r="D274" s="1" t="s">
        <v>901</v>
      </c>
      <c r="E274" s="1" t="s">
        <v>849</v>
      </c>
      <c r="F274" s="1" t="s">
        <v>850</v>
      </c>
    </row>
    <row r="275" spans="1:6">
      <c r="A275" t="s">
        <v>890</v>
      </c>
      <c r="B275" s="54" t="s">
        <v>851</v>
      </c>
      <c r="C275" t="b">
        <v>0</v>
      </c>
      <c r="D275" t="s">
        <v>901</v>
      </c>
      <c r="E275" t="s">
        <v>852</v>
      </c>
      <c r="F275" t="s">
        <v>853</v>
      </c>
    </row>
    <row r="276" spans="1:6">
      <c r="A276" t="s">
        <v>890</v>
      </c>
      <c r="B276" t="s">
        <v>854</v>
      </c>
      <c r="C276" t="b">
        <v>0</v>
      </c>
      <c r="D276" t="s">
        <v>901</v>
      </c>
      <c r="E276" t="s">
        <v>855</v>
      </c>
      <c r="F276" t="s">
        <v>856</v>
      </c>
    </row>
    <row r="277" spans="1:6">
      <c r="A277" t="s">
        <v>890</v>
      </c>
      <c r="B277" t="s">
        <v>857</v>
      </c>
      <c r="C277" t="b">
        <v>0</v>
      </c>
      <c r="D277" t="s">
        <v>901</v>
      </c>
      <c r="E277" t="s">
        <v>858</v>
      </c>
      <c r="F277" t="s">
        <v>859</v>
      </c>
    </row>
    <row r="278" spans="1:6">
      <c r="A278" t="s">
        <v>890</v>
      </c>
      <c r="B278" s="54" t="s">
        <v>860</v>
      </c>
      <c r="C278" t="b">
        <v>0</v>
      </c>
      <c r="D278" t="s">
        <v>902</v>
      </c>
      <c r="E278" t="s">
        <v>861</v>
      </c>
      <c r="F278" t="s">
        <v>862</v>
      </c>
    </row>
    <row r="279" spans="1:6">
      <c r="A279" t="s">
        <v>890</v>
      </c>
      <c r="B279" t="s">
        <v>863</v>
      </c>
      <c r="C279" t="b">
        <v>0</v>
      </c>
      <c r="D279" t="s">
        <v>902</v>
      </c>
      <c r="E279" t="s">
        <v>864</v>
      </c>
      <c r="F279" t="s">
        <v>865</v>
      </c>
    </row>
    <row r="280" spans="1:6">
      <c r="A280" t="s">
        <v>890</v>
      </c>
      <c r="B280" t="s">
        <v>866</v>
      </c>
      <c r="C280" t="b">
        <v>0</v>
      </c>
      <c r="D280" t="s">
        <v>902</v>
      </c>
      <c r="E280" t="s">
        <v>867</v>
      </c>
      <c r="F280" t="s">
        <v>868</v>
      </c>
    </row>
    <row r="281" spans="1:6">
      <c r="A281" t="s">
        <v>890</v>
      </c>
      <c r="B281" t="s">
        <v>869</v>
      </c>
      <c r="C281" t="b">
        <v>0</v>
      </c>
      <c r="D281" t="s">
        <v>902</v>
      </c>
      <c r="E281" t="s">
        <v>870</v>
      </c>
      <c r="F281" t="s">
        <v>871</v>
      </c>
    </row>
    <row r="282" spans="1:6">
      <c r="A282" t="s">
        <v>890</v>
      </c>
      <c r="B282" t="s">
        <v>872</v>
      </c>
      <c r="C282" t="b">
        <v>0</v>
      </c>
      <c r="D282" t="s">
        <v>902</v>
      </c>
      <c r="E282" t="s">
        <v>873</v>
      </c>
      <c r="F282" t="s">
        <v>874</v>
      </c>
    </row>
    <row r="283" spans="1:6">
      <c r="A283" t="s">
        <v>890</v>
      </c>
      <c r="B283" t="s">
        <v>875</v>
      </c>
      <c r="C283" t="b">
        <v>0</v>
      </c>
      <c r="D283" t="s">
        <v>902</v>
      </c>
      <c r="E283" t="s">
        <v>876</v>
      </c>
      <c r="F283" t="s">
        <v>877</v>
      </c>
    </row>
    <row r="284" spans="1:6">
      <c r="A284" s="1" t="s">
        <v>890</v>
      </c>
      <c r="B284" s="2" t="s">
        <v>878</v>
      </c>
      <c r="C284" s="1" t="b">
        <v>0</v>
      </c>
      <c r="D284" s="1" t="s">
        <v>903</v>
      </c>
      <c r="E284" s="1" t="s">
        <v>879</v>
      </c>
      <c r="F284" s="1" t="s">
        <v>880</v>
      </c>
    </row>
    <row r="285" spans="1:6">
      <c r="A285" t="s">
        <v>890</v>
      </c>
      <c r="B285" t="s">
        <v>881</v>
      </c>
      <c r="C285" t="b">
        <v>0</v>
      </c>
      <c r="D285" t="s">
        <v>903</v>
      </c>
      <c r="E285" t="s">
        <v>882</v>
      </c>
      <c r="F285" t="s">
        <v>883</v>
      </c>
    </row>
    <row r="286" spans="1:6">
      <c r="A286" s="1" t="s">
        <v>890</v>
      </c>
      <c r="B286" s="2" t="s">
        <v>884</v>
      </c>
      <c r="C286" s="1" t="b">
        <v>0</v>
      </c>
      <c r="D286" s="1" t="s">
        <v>903</v>
      </c>
      <c r="E286" s="1" t="s">
        <v>885</v>
      </c>
      <c r="F286" s="1" t="s">
        <v>886</v>
      </c>
    </row>
    <row r="287" spans="1:6">
      <c r="A287" t="s">
        <v>890</v>
      </c>
      <c r="B287" s="54" t="s">
        <v>887</v>
      </c>
      <c r="C287" t="b">
        <v>0</v>
      </c>
      <c r="D287" t="s">
        <v>903</v>
      </c>
      <c r="E287" t="s">
        <v>888</v>
      </c>
      <c r="F287" t="s">
        <v>889</v>
      </c>
    </row>
    <row r="288" spans="1:6">
      <c r="A288" t="s">
        <v>1117</v>
      </c>
      <c r="B288" s="54" t="s">
        <v>927</v>
      </c>
      <c r="C288" t="b">
        <v>0</v>
      </c>
      <c r="D288" t="s">
        <v>1118</v>
      </c>
      <c r="E288" t="s">
        <v>928</v>
      </c>
      <c r="F288" t="s">
        <v>929</v>
      </c>
    </row>
    <row r="289" spans="1:7">
      <c r="A289" t="s">
        <v>1117</v>
      </c>
      <c r="B289" t="s">
        <v>930</v>
      </c>
      <c r="C289" t="b">
        <v>0</v>
      </c>
      <c r="D289" t="s">
        <v>1118</v>
      </c>
      <c r="E289" t="s">
        <v>931</v>
      </c>
      <c r="F289" t="s">
        <v>932</v>
      </c>
      <c r="G289" s="3" t="s">
        <v>1126</v>
      </c>
    </row>
    <row r="290" spans="1:7">
      <c r="A290" t="s">
        <v>1117</v>
      </c>
      <c r="B290" t="s">
        <v>933</v>
      </c>
      <c r="C290" t="b">
        <v>0</v>
      </c>
      <c r="D290" t="s">
        <v>1118</v>
      </c>
      <c r="E290" t="s">
        <v>934</v>
      </c>
      <c r="F290" t="s">
        <v>935</v>
      </c>
      <c r="G290" s="3" t="s">
        <v>1126</v>
      </c>
    </row>
    <row r="291" spans="1:7">
      <c r="A291" t="s">
        <v>1117</v>
      </c>
      <c r="B291" t="s">
        <v>936</v>
      </c>
      <c r="C291" t="b">
        <v>0</v>
      </c>
      <c r="D291" t="s">
        <v>1118</v>
      </c>
      <c r="E291" t="s">
        <v>937</v>
      </c>
      <c r="F291" t="s">
        <v>938</v>
      </c>
      <c r="G291" s="3" t="s">
        <v>1127</v>
      </c>
    </row>
    <row r="292" spans="1:7">
      <c r="A292" s="1" t="s">
        <v>1117</v>
      </c>
      <c r="B292" s="1" t="s">
        <v>939</v>
      </c>
      <c r="C292" s="1" t="b">
        <v>0</v>
      </c>
      <c r="D292" s="1" t="s">
        <v>1118</v>
      </c>
      <c r="E292" s="1" t="s">
        <v>940</v>
      </c>
      <c r="F292" s="1" t="s">
        <v>941</v>
      </c>
      <c r="G292" s="3" t="s">
        <v>1126</v>
      </c>
    </row>
    <row r="293" spans="1:7">
      <c r="A293" t="s">
        <v>1117</v>
      </c>
      <c r="B293" t="s">
        <v>942</v>
      </c>
      <c r="C293" t="b">
        <v>0</v>
      </c>
      <c r="D293" t="s">
        <v>1118</v>
      </c>
      <c r="E293" t="s">
        <v>943</v>
      </c>
      <c r="F293" t="s">
        <v>944</v>
      </c>
      <c r="G293" s="3" t="s">
        <v>1126</v>
      </c>
    </row>
    <row r="294" spans="1:7">
      <c r="A294" t="s">
        <v>1117</v>
      </c>
      <c r="B294" t="s">
        <v>945</v>
      </c>
      <c r="C294" t="b">
        <v>0</v>
      </c>
      <c r="D294" t="s">
        <v>1118</v>
      </c>
      <c r="E294" t="s">
        <v>946</v>
      </c>
      <c r="F294" t="s">
        <v>947</v>
      </c>
      <c r="G294" s="3" t="s">
        <v>1126</v>
      </c>
    </row>
    <row r="295" spans="1:7">
      <c r="A295" t="s">
        <v>1117</v>
      </c>
      <c r="B295" t="s">
        <v>948</v>
      </c>
      <c r="C295" t="b">
        <v>0</v>
      </c>
      <c r="D295" t="s">
        <v>1118</v>
      </c>
      <c r="E295" t="s">
        <v>949</v>
      </c>
      <c r="F295" t="s">
        <v>950</v>
      </c>
      <c r="G295" s="3" t="s">
        <v>1128</v>
      </c>
    </row>
    <row r="296" spans="1:7">
      <c r="A296" t="s">
        <v>1117</v>
      </c>
      <c r="B296" t="s">
        <v>951</v>
      </c>
      <c r="C296" t="b">
        <v>0</v>
      </c>
      <c r="D296" t="s">
        <v>1118</v>
      </c>
      <c r="E296" t="s">
        <v>952</v>
      </c>
      <c r="F296" t="s">
        <v>953</v>
      </c>
      <c r="G296" s="3" t="s">
        <v>1124</v>
      </c>
    </row>
    <row r="297" spans="1:7">
      <c r="A297" t="s">
        <v>1117</v>
      </c>
      <c r="B297" t="s">
        <v>954</v>
      </c>
      <c r="C297" t="b">
        <v>0</v>
      </c>
      <c r="D297" t="s">
        <v>1118</v>
      </c>
      <c r="E297" t="s">
        <v>955</v>
      </c>
      <c r="F297" t="s">
        <v>956</v>
      </c>
      <c r="G297" s="3" t="s">
        <v>1126</v>
      </c>
    </row>
    <row r="298" spans="1:7">
      <c r="A298" t="s">
        <v>1117</v>
      </c>
      <c r="B298" t="s">
        <v>957</v>
      </c>
      <c r="C298" t="b">
        <v>0</v>
      </c>
      <c r="D298" t="s">
        <v>1118</v>
      </c>
      <c r="E298" t="s">
        <v>958</v>
      </c>
      <c r="F298" t="s">
        <v>959</v>
      </c>
      <c r="G298" s="3" t="s">
        <v>1126</v>
      </c>
    </row>
    <row r="299" spans="1:7">
      <c r="A299" t="s">
        <v>1117</v>
      </c>
      <c r="B299" t="s">
        <v>960</v>
      </c>
      <c r="C299" t="b">
        <v>0</v>
      </c>
      <c r="D299" t="s">
        <v>1118</v>
      </c>
      <c r="E299" t="s">
        <v>961</v>
      </c>
      <c r="F299" t="s">
        <v>962</v>
      </c>
      <c r="G299" s="3" t="s">
        <v>1129</v>
      </c>
    </row>
    <row r="300" spans="1:7">
      <c r="A300" s="1" t="s">
        <v>1117</v>
      </c>
      <c r="B300" s="2" t="s">
        <v>963</v>
      </c>
      <c r="C300" s="1" t="b">
        <v>0</v>
      </c>
      <c r="D300" s="1" t="s">
        <v>1118</v>
      </c>
      <c r="E300" s="1" t="s">
        <v>964</v>
      </c>
      <c r="F300" s="1" t="s">
        <v>965</v>
      </c>
      <c r="G300" s="3" t="s">
        <v>1126</v>
      </c>
    </row>
    <row r="301" spans="1:7">
      <c r="A301" t="s">
        <v>1117</v>
      </c>
      <c r="B301" t="s">
        <v>966</v>
      </c>
      <c r="C301" t="b">
        <v>0</v>
      </c>
      <c r="D301" t="s">
        <v>1118</v>
      </c>
      <c r="E301" t="s">
        <v>967</v>
      </c>
      <c r="F301" t="s">
        <v>968</v>
      </c>
      <c r="G301" s="3" t="s">
        <v>1126</v>
      </c>
    </row>
    <row r="302" spans="1:7">
      <c r="A302" t="s">
        <v>1117</v>
      </c>
      <c r="B302" t="s">
        <v>969</v>
      </c>
      <c r="C302" t="b">
        <v>0</v>
      </c>
      <c r="D302" t="s">
        <v>1118</v>
      </c>
      <c r="E302" t="s">
        <v>251</v>
      </c>
      <c r="F302" t="s">
        <v>970</v>
      </c>
      <c r="G302" s="3" t="s">
        <v>1130</v>
      </c>
    </row>
    <row r="303" spans="1:7">
      <c r="A303" t="s">
        <v>1117</v>
      </c>
      <c r="B303" t="s">
        <v>1385</v>
      </c>
      <c r="C303" t="b">
        <v>1</v>
      </c>
      <c r="D303" t="s">
        <v>1386</v>
      </c>
      <c r="E303" t="s">
        <v>975</v>
      </c>
      <c r="F303" t="s">
        <v>1387</v>
      </c>
      <c r="G303" s="3" t="s">
        <v>1125</v>
      </c>
    </row>
    <row r="304" spans="1:7">
      <c r="A304" t="s">
        <v>1117</v>
      </c>
      <c r="B304" t="s">
        <v>1388</v>
      </c>
      <c r="C304" t="b">
        <v>1</v>
      </c>
      <c r="D304" t="s">
        <v>891</v>
      </c>
      <c r="E304" t="s">
        <v>1389</v>
      </c>
      <c r="F304" t="s">
        <v>1390</v>
      </c>
      <c r="G304" s="3" t="s">
        <v>1126</v>
      </c>
    </row>
    <row r="305" spans="1:7">
      <c r="A305" t="s">
        <v>1117</v>
      </c>
      <c r="B305" t="s">
        <v>971</v>
      </c>
      <c r="C305" t="b">
        <v>0</v>
      </c>
      <c r="D305" t="s">
        <v>891</v>
      </c>
      <c r="E305" t="s">
        <v>972</v>
      </c>
      <c r="F305" t="s">
        <v>973</v>
      </c>
      <c r="G305" s="3" t="s">
        <v>1126</v>
      </c>
    </row>
    <row r="306" spans="1:7">
      <c r="A306" s="1" t="s">
        <v>1117</v>
      </c>
      <c r="B306" s="1" t="s">
        <v>974</v>
      </c>
      <c r="C306" s="1" t="b">
        <v>0</v>
      </c>
      <c r="D306" s="1" t="s">
        <v>891</v>
      </c>
      <c r="E306" s="1" t="s">
        <v>975</v>
      </c>
      <c r="F306" s="1" t="s">
        <v>976</v>
      </c>
      <c r="G306" s="3" t="s">
        <v>1131</v>
      </c>
    </row>
    <row r="307" spans="1:7">
      <c r="A307" t="s">
        <v>1117</v>
      </c>
      <c r="B307" t="s">
        <v>977</v>
      </c>
      <c r="C307" t="b">
        <v>0</v>
      </c>
      <c r="D307" t="s">
        <v>891</v>
      </c>
      <c r="E307" t="s">
        <v>978</v>
      </c>
      <c r="F307" t="s">
        <v>979</v>
      </c>
      <c r="G307" s="3" t="s">
        <v>1132</v>
      </c>
    </row>
    <row r="308" spans="1:7">
      <c r="A308" t="s">
        <v>1117</v>
      </c>
      <c r="B308" t="s">
        <v>980</v>
      </c>
      <c r="C308" t="b">
        <v>0</v>
      </c>
      <c r="D308" t="s">
        <v>891</v>
      </c>
      <c r="E308" t="s">
        <v>981</v>
      </c>
      <c r="F308" t="s">
        <v>982</v>
      </c>
      <c r="G308" s="3" t="s">
        <v>1126</v>
      </c>
    </row>
    <row r="309" spans="1:7">
      <c r="A309" t="s">
        <v>1117</v>
      </c>
      <c r="B309" t="s">
        <v>1391</v>
      </c>
      <c r="C309" t="b">
        <v>1</v>
      </c>
      <c r="D309" t="s">
        <v>891</v>
      </c>
      <c r="E309" t="s">
        <v>1392</v>
      </c>
      <c r="F309" t="s">
        <v>1393</v>
      </c>
      <c r="G309" s="3" t="s">
        <v>1126</v>
      </c>
    </row>
    <row r="310" spans="1:7">
      <c r="A310" t="s">
        <v>1117</v>
      </c>
      <c r="B310" t="s">
        <v>1394</v>
      </c>
      <c r="C310" t="b">
        <v>1</v>
      </c>
      <c r="D310" t="s">
        <v>891</v>
      </c>
      <c r="E310" t="s">
        <v>1395</v>
      </c>
      <c r="F310" t="s">
        <v>1396</v>
      </c>
      <c r="G310" s="3" t="s">
        <v>1126</v>
      </c>
    </row>
    <row r="311" spans="1:7">
      <c r="A311" t="s">
        <v>1117</v>
      </c>
      <c r="B311" t="s">
        <v>983</v>
      </c>
      <c r="C311" t="b">
        <v>0</v>
      </c>
      <c r="D311" t="s">
        <v>891</v>
      </c>
      <c r="E311" t="s">
        <v>984</v>
      </c>
      <c r="F311" t="s">
        <v>985</v>
      </c>
      <c r="G311" s="3" t="s">
        <v>1126</v>
      </c>
    </row>
    <row r="312" spans="1:7">
      <c r="A312" s="1" t="s">
        <v>1117</v>
      </c>
      <c r="B312" s="1" t="s">
        <v>986</v>
      </c>
      <c r="C312" s="1" t="b">
        <v>0</v>
      </c>
      <c r="D312" s="1" t="s">
        <v>891</v>
      </c>
      <c r="E312" s="1" t="s">
        <v>987</v>
      </c>
      <c r="F312" s="1" t="s">
        <v>988</v>
      </c>
      <c r="G312" s="3" t="s">
        <v>1126</v>
      </c>
    </row>
    <row r="313" spans="1:7">
      <c r="A313" t="s">
        <v>1117</v>
      </c>
      <c r="B313" t="s">
        <v>989</v>
      </c>
      <c r="C313" t="b">
        <v>0</v>
      </c>
      <c r="D313" t="s">
        <v>891</v>
      </c>
      <c r="E313" t="s">
        <v>990</v>
      </c>
      <c r="F313" t="s">
        <v>991</v>
      </c>
      <c r="G313" s="3" t="s">
        <v>1126</v>
      </c>
    </row>
    <row r="314" spans="1:7">
      <c r="A314" s="1" t="s">
        <v>1117</v>
      </c>
      <c r="B314" s="2" t="s">
        <v>992</v>
      </c>
      <c r="C314" s="1" t="b">
        <v>0</v>
      </c>
      <c r="D314" s="1" t="s">
        <v>891</v>
      </c>
      <c r="E314" s="1" t="s">
        <v>993</v>
      </c>
      <c r="F314" s="1" t="s">
        <v>994</v>
      </c>
      <c r="G314" s="3" t="s">
        <v>1126</v>
      </c>
    </row>
    <row r="315" spans="1:7">
      <c r="A315" t="s">
        <v>1117</v>
      </c>
      <c r="B315" t="s">
        <v>1138</v>
      </c>
      <c r="C315" t="b">
        <v>0</v>
      </c>
      <c r="D315" t="s">
        <v>891</v>
      </c>
      <c r="E315" t="s">
        <v>995</v>
      </c>
      <c r="F315" t="s">
        <v>1139</v>
      </c>
      <c r="G315" s="3" t="s">
        <v>1125</v>
      </c>
    </row>
    <row r="316" spans="1:7">
      <c r="A316" t="s">
        <v>1117</v>
      </c>
      <c r="B316" t="s">
        <v>996</v>
      </c>
      <c r="C316" t="b">
        <v>0</v>
      </c>
      <c r="D316" t="s">
        <v>892</v>
      </c>
      <c r="E316" t="s">
        <v>997</v>
      </c>
      <c r="F316" t="s">
        <v>998</v>
      </c>
      <c r="G316" s="3" t="s">
        <v>1125</v>
      </c>
    </row>
    <row r="317" spans="1:7">
      <c r="A317" t="s">
        <v>1117</v>
      </c>
      <c r="B317" t="s">
        <v>999</v>
      </c>
      <c r="C317" t="b">
        <v>0</v>
      </c>
      <c r="D317" t="s">
        <v>892</v>
      </c>
      <c r="E317" t="s">
        <v>1000</v>
      </c>
      <c r="F317" t="s">
        <v>1001</v>
      </c>
      <c r="G317" s="3" t="s">
        <v>1125</v>
      </c>
    </row>
    <row r="318" spans="1:7">
      <c r="A318" t="s">
        <v>1117</v>
      </c>
      <c r="B318" t="s">
        <v>1002</v>
      </c>
      <c r="C318" t="b">
        <v>0</v>
      </c>
      <c r="D318" t="s">
        <v>892</v>
      </c>
      <c r="E318" t="s">
        <v>1003</v>
      </c>
      <c r="F318" t="s">
        <v>1004</v>
      </c>
      <c r="G318" s="3" t="s">
        <v>1131</v>
      </c>
    </row>
    <row r="319" spans="1:7">
      <c r="A319" t="s">
        <v>1117</v>
      </c>
      <c r="B319" t="s">
        <v>1005</v>
      </c>
      <c r="C319" t="b">
        <v>0</v>
      </c>
      <c r="D319" t="s">
        <v>892</v>
      </c>
      <c r="E319" t="s">
        <v>1006</v>
      </c>
      <c r="F319" t="s">
        <v>1007</v>
      </c>
      <c r="G319" s="3" t="s">
        <v>1131</v>
      </c>
    </row>
    <row r="320" spans="1:7">
      <c r="A320" t="s">
        <v>1117</v>
      </c>
      <c r="B320" t="s">
        <v>1397</v>
      </c>
      <c r="C320" t="b">
        <v>1</v>
      </c>
      <c r="D320" t="s">
        <v>892</v>
      </c>
      <c r="E320" t="s">
        <v>1398</v>
      </c>
      <c r="F320" t="s">
        <v>1399</v>
      </c>
      <c r="G320" s="3" t="s">
        <v>1126</v>
      </c>
    </row>
    <row r="321" spans="1:7">
      <c r="A321" t="s">
        <v>1117</v>
      </c>
      <c r="B321" t="s">
        <v>1400</v>
      </c>
      <c r="C321" t="b">
        <v>1</v>
      </c>
      <c r="D321" t="s">
        <v>892</v>
      </c>
      <c r="E321" t="s">
        <v>1401</v>
      </c>
      <c r="F321" t="s">
        <v>1402</v>
      </c>
      <c r="G321" s="3" t="s">
        <v>1126</v>
      </c>
    </row>
    <row r="322" spans="1:7">
      <c r="A322" s="1" t="s">
        <v>1117</v>
      </c>
      <c r="B322" s="1" t="s">
        <v>1403</v>
      </c>
      <c r="C322" s="1" t="b">
        <v>1</v>
      </c>
      <c r="D322" s="1" t="s">
        <v>892</v>
      </c>
      <c r="E322" s="1" t="s">
        <v>1404</v>
      </c>
      <c r="F322" s="1" t="s">
        <v>1405</v>
      </c>
      <c r="G322" s="3" t="s">
        <v>1465</v>
      </c>
    </row>
    <row r="323" spans="1:7">
      <c r="A323" t="s">
        <v>1117</v>
      </c>
      <c r="B323" t="s">
        <v>1008</v>
      </c>
      <c r="C323" t="b">
        <v>0</v>
      </c>
      <c r="D323" t="s">
        <v>892</v>
      </c>
      <c r="E323" t="s">
        <v>1009</v>
      </c>
      <c r="F323" t="s">
        <v>1010</v>
      </c>
      <c r="G323" s="3" t="s">
        <v>1126</v>
      </c>
    </row>
    <row r="324" spans="1:7">
      <c r="A324" s="1" t="s">
        <v>1117</v>
      </c>
      <c r="B324" s="1" t="s">
        <v>1406</v>
      </c>
      <c r="C324" s="1" t="b">
        <v>1</v>
      </c>
      <c r="D324" s="1" t="s">
        <v>892</v>
      </c>
      <c r="E324" s="1" t="s">
        <v>1407</v>
      </c>
      <c r="F324" s="1" t="s">
        <v>1408</v>
      </c>
      <c r="G324" s="3" t="s">
        <v>1126</v>
      </c>
    </row>
    <row r="325" spans="1:7">
      <c r="A325" t="s">
        <v>1117</v>
      </c>
      <c r="B325" t="s">
        <v>1011</v>
      </c>
      <c r="C325" t="b">
        <v>0</v>
      </c>
      <c r="D325" t="s">
        <v>892</v>
      </c>
      <c r="E325" t="s">
        <v>1012</v>
      </c>
      <c r="F325" t="s">
        <v>1013</v>
      </c>
      <c r="G325" s="3" t="s">
        <v>1126</v>
      </c>
    </row>
    <row r="326" spans="1:7">
      <c r="A326" s="1" t="s">
        <v>1117</v>
      </c>
      <c r="B326" s="1" t="s">
        <v>1014</v>
      </c>
      <c r="C326" s="1" t="b">
        <v>0</v>
      </c>
      <c r="D326" s="1" t="s">
        <v>892</v>
      </c>
      <c r="E326" s="1" t="s">
        <v>1015</v>
      </c>
      <c r="F326" s="1" t="s">
        <v>1016</v>
      </c>
      <c r="G326" s="3" t="s">
        <v>1126</v>
      </c>
    </row>
    <row r="327" spans="1:7">
      <c r="A327" t="s">
        <v>1117</v>
      </c>
      <c r="B327" t="s">
        <v>1155</v>
      </c>
      <c r="C327" t="b">
        <v>0</v>
      </c>
      <c r="D327" t="s">
        <v>892</v>
      </c>
      <c r="E327" t="s">
        <v>1156</v>
      </c>
      <c r="F327" t="s">
        <v>1157</v>
      </c>
    </row>
    <row r="328" spans="1:7">
      <c r="A328" s="1" t="s">
        <v>1117</v>
      </c>
      <c r="B328" s="2" t="s">
        <v>1017</v>
      </c>
      <c r="C328" s="1" t="b">
        <v>0</v>
      </c>
      <c r="D328" s="1" t="s">
        <v>892</v>
      </c>
      <c r="E328" s="1" t="s">
        <v>995</v>
      </c>
      <c r="F328" s="1" t="s">
        <v>1018</v>
      </c>
      <c r="G328" s="3" t="s">
        <v>1126</v>
      </c>
    </row>
    <row r="329" spans="1:7">
      <c r="A329" t="s">
        <v>1117</v>
      </c>
      <c r="B329" t="s">
        <v>1409</v>
      </c>
      <c r="C329" t="b">
        <v>1</v>
      </c>
      <c r="D329" t="s">
        <v>893</v>
      </c>
      <c r="E329" t="s">
        <v>1410</v>
      </c>
      <c r="F329" t="s">
        <v>1411</v>
      </c>
      <c r="G329" s="3" t="s">
        <v>1126</v>
      </c>
    </row>
    <row r="330" spans="1:7">
      <c r="A330" s="1" t="s">
        <v>1117</v>
      </c>
      <c r="B330" s="1" t="s">
        <v>1412</v>
      </c>
      <c r="C330" s="1" t="b">
        <v>1</v>
      </c>
      <c r="D330" s="1" t="s">
        <v>893</v>
      </c>
      <c r="E330" s="1" t="s">
        <v>1413</v>
      </c>
      <c r="F330" s="1" t="s">
        <v>1414</v>
      </c>
      <c r="G330" s="3" t="s">
        <v>1126</v>
      </c>
    </row>
    <row r="331" spans="1:7">
      <c r="A331" t="s">
        <v>1117</v>
      </c>
      <c r="B331" t="s">
        <v>1415</v>
      </c>
      <c r="C331" t="b">
        <v>1</v>
      </c>
      <c r="D331" t="s">
        <v>893</v>
      </c>
      <c r="E331" t="s">
        <v>1416</v>
      </c>
      <c r="F331" t="s">
        <v>1417</v>
      </c>
      <c r="G331" s="3" t="s">
        <v>1135</v>
      </c>
    </row>
    <row r="332" spans="1:7">
      <c r="A332" t="s">
        <v>1117</v>
      </c>
      <c r="B332" t="s">
        <v>1418</v>
      </c>
      <c r="C332" t="b">
        <v>1</v>
      </c>
      <c r="D332" t="s">
        <v>893</v>
      </c>
      <c r="E332" t="s">
        <v>1419</v>
      </c>
      <c r="F332" t="s">
        <v>1420</v>
      </c>
      <c r="G332" s="3" t="s">
        <v>1126</v>
      </c>
    </row>
    <row r="333" spans="1:7">
      <c r="A333" t="s">
        <v>1117</v>
      </c>
      <c r="B333" s="54" t="s">
        <v>1019</v>
      </c>
      <c r="C333" t="b">
        <v>0</v>
      </c>
      <c r="D333" t="s">
        <v>893</v>
      </c>
      <c r="E333" t="s">
        <v>1020</v>
      </c>
      <c r="F333" t="s">
        <v>1021</v>
      </c>
      <c r="G333" s="3" t="s">
        <v>1126</v>
      </c>
    </row>
    <row r="334" spans="1:7">
      <c r="A334" t="s">
        <v>1117</v>
      </c>
      <c r="B334" t="s">
        <v>1140</v>
      </c>
      <c r="C334" t="b">
        <v>0</v>
      </c>
      <c r="D334" t="s">
        <v>893</v>
      </c>
      <c r="E334" t="s">
        <v>1141</v>
      </c>
      <c r="F334" t="s">
        <v>1142</v>
      </c>
      <c r="G334" s="3" t="s">
        <v>905</v>
      </c>
    </row>
    <row r="335" spans="1:7">
      <c r="A335" t="s">
        <v>1117</v>
      </c>
      <c r="B335" t="s">
        <v>1022</v>
      </c>
      <c r="C335" t="b">
        <v>0</v>
      </c>
      <c r="D335" t="s">
        <v>1119</v>
      </c>
      <c r="E335" t="s">
        <v>1023</v>
      </c>
      <c r="F335" t="s">
        <v>1024</v>
      </c>
      <c r="G335" s="3" t="s">
        <v>1126</v>
      </c>
    </row>
    <row r="336" spans="1:7">
      <c r="A336" t="s">
        <v>1117</v>
      </c>
      <c r="B336" t="s">
        <v>1025</v>
      </c>
      <c r="C336" t="b">
        <v>0</v>
      </c>
      <c r="D336" t="s">
        <v>1119</v>
      </c>
      <c r="E336" t="s">
        <v>1026</v>
      </c>
      <c r="F336" t="s">
        <v>1027</v>
      </c>
    </row>
    <row r="337" spans="1:7">
      <c r="A337" t="s">
        <v>1117</v>
      </c>
      <c r="B337" t="s">
        <v>1421</v>
      </c>
      <c r="C337" t="b">
        <v>1</v>
      </c>
      <c r="D337" t="s">
        <v>1119</v>
      </c>
      <c r="E337" t="s">
        <v>931</v>
      </c>
      <c r="F337" t="s">
        <v>1422</v>
      </c>
      <c r="G337" s="3" t="s">
        <v>1126</v>
      </c>
    </row>
    <row r="338" spans="1:7">
      <c r="A338" t="s">
        <v>1117</v>
      </c>
      <c r="B338" t="s">
        <v>1198</v>
      </c>
      <c r="C338" t="b">
        <v>0</v>
      </c>
      <c r="D338" t="s">
        <v>1120</v>
      </c>
      <c r="E338" t="s">
        <v>1199</v>
      </c>
      <c r="F338" t="s">
        <v>1200</v>
      </c>
      <c r="G338" s="3" t="s">
        <v>1126</v>
      </c>
    </row>
    <row r="339" spans="1:7">
      <c r="A339" t="s">
        <v>1117</v>
      </c>
      <c r="B339" t="s">
        <v>1028</v>
      </c>
      <c r="C339" t="b">
        <v>0</v>
      </c>
      <c r="D339" t="s">
        <v>1120</v>
      </c>
      <c r="E339" t="s">
        <v>1029</v>
      </c>
      <c r="F339" t="s">
        <v>1030</v>
      </c>
      <c r="G339" s="3" t="s">
        <v>1125</v>
      </c>
    </row>
    <row r="340" spans="1:7">
      <c r="A340" s="1" t="s">
        <v>1117</v>
      </c>
      <c r="B340" s="2" t="s">
        <v>1201</v>
      </c>
      <c r="C340" s="1" t="b">
        <v>0</v>
      </c>
      <c r="D340" s="2" t="s">
        <v>1120</v>
      </c>
      <c r="E340" s="1" t="s">
        <v>1202</v>
      </c>
      <c r="F340" s="1" t="s">
        <v>1203</v>
      </c>
      <c r="G340" s="3" t="s">
        <v>1126</v>
      </c>
    </row>
    <row r="341" spans="1:7">
      <c r="A341" t="s">
        <v>1117</v>
      </c>
      <c r="B341" t="s">
        <v>1204</v>
      </c>
      <c r="C341" t="b">
        <v>0</v>
      </c>
      <c r="D341" t="s">
        <v>1120</v>
      </c>
      <c r="E341" t="s">
        <v>1205</v>
      </c>
      <c r="F341" t="s">
        <v>1206</v>
      </c>
      <c r="G341" s="3" t="s">
        <v>1126</v>
      </c>
    </row>
    <row r="342" spans="1:7">
      <c r="A342" t="s">
        <v>1117</v>
      </c>
      <c r="B342" t="s">
        <v>1207</v>
      </c>
      <c r="C342" t="b">
        <v>0</v>
      </c>
      <c r="D342" t="s">
        <v>1120</v>
      </c>
      <c r="E342" t="s">
        <v>1208</v>
      </c>
      <c r="F342" t="s">
        <v>1209</v>
      </c>
      <c r="G342" s="3" t="s">
        <v>1126</v>
      </c>
    </row>
    <row r="343" spans="1:7">
      <c r="A343" t="s">
        <v>1117</v>
      </c>
      <c r="B343" t="s">
        <v>1158</v>
      </c>
      <c r="C343" t="b">
        <v>0</v>
      </c>
      <c r="D343" t="s">
        <v>1120</v>
      </c>
      <c r="E343" t="s">
        <v>1156</v>
      </c>
      <c r="F343" t="s">
        <v>1159</v>
      </c>
      <c r="G343" s="3" t="s">
        <v>1126</v>
      </c>
    </row>
    <row r="344" spans="1:7">
      <c r="A344" t="s">
        <v>1117</v>
      </c>
      <c r="B344" s="54" t="s">
        <v>1031</v>
      </c>
      <c r="C344" t="b">
        <v>0</v>
      </c>
      <c r="D344" t="s">
        <v>1120</v>
      </c>
      <c r="E344" t="s">
        <v>1032</v>
      </c>
      <c r="F344" t="s">
        <v>1033</v>
      </c>
      <c r="G344" s="3" t="s">
        <v>1126</v>
      </c>
    </row>
    <row r="345" spans="1:7">
      <c r="A345" t="s">
        <v>1117</v>
      </c>
      <c r="B345" s="54" t="s">
        <v>1034</v>
      </c>
      <c r="C345" t="b">
        <v>0</v>
      </c>
      <c r="D345" t="s">
        <v>1120</v>
      </c>
      <c r="E345" t="s">
        <v>1035</v>
      </c>
      <c r="F345" t="s">
        <v>1036</v>
      </c>
      <c r="G345" s="3" t="s">
        <v>1133</v>
      </c>
    </row>
    <row r="346" spans="1:7">
      <c r="A346" s="1" t="s">
        <v>1117</v>
      </c>
      <c r="B346" s="1" t="s">
        <v>1037</v>
      </c>
      <c r="C346" s="1" t="b">
        <v>0</v>
      </c>
      <c r="D346" s="1" t="s">
        <v>1120</v>
      </c>
      <c r="E346" s="1" t="s">
        <v>1038</v>
      </c>
      <c r="F346" s="1" t="s">
        <v>1039</v>
      </c>
      <c r="G346" s="3" t="s">
        <v>1131</v>
      </c>
    </row>
    <row r="347" spans="1:7">
      <c r="A347" t="s">
        <v>1117</v>
      </c>
      <c r="B347" s="54" t="s">
        <v>1040</v>
      </c>
      <c r="C347" t="b">
        <v>0</v>
      </c>
      <c r="D347" t="s">
        <v>1120</v>
      </c>
      <c r="E347" t="s">
        <v>1041</v>
      </c>
      <c r="F347" t="s">
        <v>1042</v>
      </c>
      <c r="G347" s="3" t="s">
        <v>1131</v>
      </c>
    </row>
    <row r="348" spans="1:7">
      <c r="A348" t="s">
        <v>1117</v>
      </c>
      <c r="B348" t="s">
        <v>1043</v>
      </c>
      <c r="C348" t="b">
        <v>0</v>
      </c>
      <c r="D348" t="s">
        <v>1120</v>
      </c>
      <c r="E348" t="s">
        <v>1044</v>
      </c>
      <c r="F348" t="s">
        <v>1045</v>
      </c>
      <c r="G348" s="3" t="s">
        <v>1131</v>
      </c>
    </row>
    <row r="349" spans="1:7">
      <c r="A349" t="s">
        <v>1117</v>
      </c>
      <c r="B349" t="s">
        <v>1046</v>
      </c>
      <c r="C349" t="b">
        <v>0</v>
      </c>
      <c r="D349" t="s">
        <v>1120</v>
      </c>
      <c r="E349" t="s">
        <v>148</v>
      </c>
      <c r="F349" t="s">
        <v>1047</v>
      </c>
      <c r="G349" s="3" t="s">
        <v>1125</v>
      </c>
    </row>
    <row r="350" spans="1:7">
      <c r="A350" t="s">
        <v>1117</v>
      </c>
      <c r="B350" t="s">
        <v>1048</v>
      </c>
      <c r="C350" t="b">
        <v>0</v>
      </c>
      <c r="D350" t="s">
        <v>1120</v>
      </c>
      <c r="E350" t="s">
        <v>1049</v>
      </c>
      <c r="F350" t="s">
        <v>1050</v>
      </c>
      <c r="G350" s="3" t="s">
        <v>1125</v>
      </c>
    </row>
    <row r="351" spans="1:7">
      <c r="A351" t="s">
        <v>1117</v>
      </c>
      <c r="B351" t="s">
        <v>1051</v>
      </c>
      <c r="C351" t="b">
        <v>0</v>
      </c>
      <c r="D351" t="s">
        <v>1120</v>
      </c>
      <c r="E351" t="s">
        <v>1052</v>
      </c>
      <c r="F351" t="s">
        <v>1053</v>
      </c>
      <c r="G351" s="3" t="s">
        <v>1125</v>
      </c>
    </row>
    <row r="352" spans="1:7">
      <c r="A352" t="s">
        <v>1117</v>
      </c>
      <c r="B352" t="s">
        <v>1054</v>
      </c>
      <c r="C352" t="b">
        <v>0</v>
      </c>
      <c r="D352" t="s">
        <v>1120</v>
      </c>
      <c r="E352" t="s">
        <v>1055</v>
      </c>
      <c r="F352" t="s">
        <v>1056</v>
      </c>
      <c r="G352" s="3" t="s">
        <v>1125</v>
      </c>
    </row>
    <row r="353" spans="1:7">
      <c r="A353" t="s">
        <v>1117</v>
      </c>
      <c r="B353" t="s">
        <v>1423</v>
      </c>
      <c r="C353" t="b">
        <v>1</v>
      </c>
      <c r="D353" t="s">
        <v>1120</v>
      </c>
      <c r="E353" t="s">
        <v>1424</v>
      </c>
      <c r="F353" t="s">
        <v>1425</v>
      </c>
      <c r="G353" s="3" t="s">
        <v>1129</v>
      </c>
    </row>
    <row r="354" spans="1:7">
      <c r="A354" t="s">
        <v>1117</v>
      </c>
      <c r="B354" t="s">
        <v>1060</v>
      </c>
      <c r="C354" t="b">
        <v>0</v>
      </c>
      <c r="D354" t="s">
        <v>1120</v>
      </c>
      <c r="E354" t="s">
        <v>1061</v>
      </c>
      <c r="F354" t="s">
        <v>1062</v>
      </c>
      <c r="G354" s="3" t="s">
        <v>1126</v>
      </c>
    </row>
    <row r="355" spans="1:7">
      <c r="A355" t="s">
        <v>1117</v>
      </c>
      <c r="B355" t="s">
        <v>1426</v>
      </c>
      <c r="C355" t="b">
        <v>1</v>
      </c>
      <c r="D355" t="s">
        <v>1120</v>
      </c>
      <c r="E355" t="s">
        <v>1427</v>
      </c>
      <c r="F355" t="s">
        <v>1428</v>
      </c>
      <c r="G355" s="3" t="s">
        <v>1126</v>
      </c>
    </row>
    <row r="356" spans="1:7">
      <c r="A356" s="1" t="s">
        <v>1117</v>
      </c>
      <c r="B356" s="1" t="s">
        <v>1063</v>
      </c>
      <c r="C356" s="1" t="b">
        <v>0</v>
      </c>
      <c r="D356" s="1" t="s">
        <v>1120</v>
      </c>
      <c r="E356" s="1" t="s">
        <v>1064</v>
      </c>
      <c r="F356" s="1" t="s">
        <v>1065</v>
      </c>
      <c r="G356" s="3" t="s">
        <v>1125</v>
      </c>
    </row>
    <row r="357" spans="1:7">
      <c r="A357" t="s">
        <v>1117</v>
      </c>
      <c r="B357" t="s">
        <v>1429</v>
      </c>
      <c r="C357" t="b">
        <v>1</v>
      </c>
      <c r="D357" t="s">
        <v>1121</v>
      </c>
      <c r="E357" t="s">
        <v>1430</v>
      </c>
      <c r="F357" t="s">
        <v>1431</v>
      </c>
      <c r="G357" s="3" t="s">
        <v>1131</v>
      </c>
    </row>
    <row r="358" spans="1:7">
      <c r="A358" t="s">
        <v>1117</v>
      </c>
      <c r="B358" t="s">
        <v>1066</v>
      </c>
      <c r="C358" t="b">
        <v>0</v>
      </c>
      <c r="D358" t="s">
        <v>1121</v>
      </c>
      <c r="E358" t="s">
        <v>1067</v>
      </c>
      <c r="F358" t="s">
        <v>1068</v>
      </c>
      <c r="G358" s="3" t="s">
        <v>1126</v>
      </c>
    </row>
    <row r="359" spans="1:7">
      <c r="A359" t="s">
        <v>1117</v>
      </c>
      <c r="B359" t="s">
        <v>1069</v>
      </c>
      <c r="C359" t="b">
        <v>0</v>
      </c>
      <c r="D359" t="s">
        <v>1121</v>
      </c>
      <c r="E359" t="s">
        <v>1070</v>
      </c>
      <c r="F359" t="s">
        <v>1071</v>
      </c>
      <c r="G359" s="3" t="s">
        <v>1131</v>
      </c>
    </row>
    <row r="360" spans="1:7">
      <c r="A360" t="s">
        <v>1117</v>
      </c>
      <c r="B360" t="s">
        <v>1072</v>
      </c>
      <c r="C360" t="b">
        <v>0</v>
      </c>
      <c r="D360" t="s">
        <v>1121</v>
      </c>
      <c r="E360" t="s">
        <v>1073</v>
      </c>
      <c r="F360" t="s">
        <v>1074</v>
      </c>
      <c r="G360" s="3" t="s">
        <v>1126</v>
      </c>
    </row>
    <row r="361" spans="1:7">
      <c r="A361" t="s">
        <v>1117</v>
      </c>
      <c r="B361" t="s">
        <v>1075</v>
      </c>
      <c r="C361" t="b">
        <v>0</v>
      </c>
      <c r="D361" t="s">
        <v>1121</v>
      </c>
      <c r="E361" t="s">
        <v>1076</v>
      </c>
      <c r="F361" t="s">
        <v>1077</v>
      </c>
      <c r="G361" s="3" t="s">
        <v>1126</v>
      </c>
    </row>
    <row r="362" spans="1:7">
      <c r="A362" s="1" t="s">
        <v>1117</v>
      </c>
      <c r="B362" s="1" t="s">
        <v>1078</v>
      </c>
      <c r="C362" s="1" t="b">
        <v>0</v>
      </c>
      <c r="D362" s="2" t="s">
        <v>1122</v>
      </c>
      <c r="E362" s="1" t="s">
        <v>1079</v>
      </c>
      <c r="F362" s="1" t="s">
        <v>1080</v>
      </c>
      <c r="G362" s="3" t="s">
        <v>1125</v>
      </c>
    </row>
    <row r="363" spans="1:7">
      <c r="A363" t="s">
        <v>1117</v>
      </c>
      <c r="B363" t="s">
        <v>1081</v>
      </c>
      <c r="C363" t="b">
        <v>0</v>
      </c>
      <c r="D363" t="s">
        <v>1122</v>
      </c>
      <c r="E363" t="s">
        <v>1082</v>
      </c>
      <c r="F363" t="s">
        <v>1083</v>
      </c>
      <c r="G363" s="3" t="s">
        <v>1125</v>
      </c>
    </row>
    <row r="364" spans="1:7">
      <c r="A364" t="s">
        <v>1117</v>
      </c>
      <c r="B364" t="s">
        <v>1057</v>
      </c>
      <c r="C364" t="b">
        <v>0</v>
      </c>
      <c r="D364" t="s">
        <v>1122</v>
      </c>
      <c r="E364" t="s">
        <v>1058</v>
      </c>
      <c r="F364" t="s">
        <v>1059</v>
      </c>
      <c r="G364" s="3" t="s">
        <v>1125</v>
      </c>
    </row>
    <row r="365" spans="1:7">
      <c r="A365" t="s">
        <v>1117</v>
      </c>
      <c r="B365" t="s">
        <v>1084</v>
      </c>
      <c r="C365" t="b">
        <v>0</v>
      </c>
      <c r="D365" t="s">
        <v>1123</v>
      </c>
      <c r="E365" t="s">
        <v>1085</v>
      </c>
      <c r="F365" t="s">
        <v>1086</v>
      </c>
      <c r="G365" s="3" t="s">
        <v>1125</v>
      </c>
    </row>
    <row r="366" spans="1:7">
      <c r="A366" t="s">
        <v>1117</v>
      </c>
      <c r="B366" t="s">
        <v>1087</v>
      </c>
      <c r="C366" t="b">
        <v>0</v>
      </c>
      <c r="D366" t="s">
        <v>1123</v>
      </c>
      <c r="E366" t="s">
        <v>1088</v>
      </c>
      <c r="F366" t="s">
        <v>1089</v>
      </c>
      <c r="G366" s="3" t="s">
        <v>1125</v>
      </c>
    </row>
    <row r="367" spans="1:7">
      <c r="A367" t="s">
        <v>1117</v>
      </c>
      <c r="B367" t="s">
        <v>1090</v>
      </c>
      <c r="C367" t="b">
        <v>0</v>
      </c>
      <c r="D367" t="s">
        <v>1123</v>
      </c>
      <c r="E367" t="s">
        <v>1091</v>
      </c>
      <c r="F367" t="s">
        <v>1092</v>
      </c>
      <c r="G367" s="3" t="s">
        <v>1125</v>
      </c>
    </row>
    <row r="368" spans="1:7">
      <c r="A368" s="1" t="s">
        <v>1117</v>
      </c>
      <c r="B368" s="1" t="s">
        <v>1093</v>
      </c>
      <c r="C368" s="1" t="b">
        <v>0</v>
      </c>
      <c r="D368" s="1" t="s">
        <v>1123</v>
      </c>
      <c r="E368" s="1" t="s">
        <v>1094</v>
      </c>
      <c r="F368" s="1" t="s">
        <v>1095</v>
      </c>
      <c r="G368" s="3" t="s">
        <v>1134</v>
      </c>
    </row>
    <row r="369" spans="1:7">
      <c r="A369" t="s">
        <v>1117</v>
      </c>
      <c r="B369" t="s">
        <v>1096</v>
      </c>
      <c r="C369" t="b">
        <v>0</v>
      </c>
      <c r="D369" t="s">
        <v>1123</v>
      </c>
      <c r="E369" t="s">
        <v>1097</v>
      </c>
      <c r="F369" t="s">
        <v>1098</v>
      </c>
      <c r="G369" s="3" t="s">
        <v>1126</v>
      </c>
    </row>
    <row r="370" spans="1:7">
      <c r="A370" t="s">
        <v>1117</v>
      </c>
      <c r="B370" t="s">
        <v>1099</v>
      </c>
      <c r="C370" t="b">
        <v>0</v>
      </c>
      <c r="D370" t="s">
        <v>1123</v>
      </c>
      <c r="E370" t="s">
        <v>1100</v>
      </c>
      <c r="F370" t="s">
        <v>1101</v>
      </c>
      <c r="G370" s="3" t="s">
        <v>1126</v>
      </c>
    </row>
    <row r="371" spans="1:7">
      <c r="A371" t="s">
        <v>1117</v>
      </c>
      <c r="B371" t="s">
        <v>1102</v>
      </c>
      <c r="C371" t="b">
        <v>0</v>
      </c>
      <c r="D371" t="s">
        <v>1123</v>
      </c>
      <c r="E371" t="s">
        <v>1103</v>
      </c>
      <c r="F371" t="s">
        <v>1104</v>
      </c>
      <c r="G371" s="3" t="s">
        <v>1126</v>
      </c>
    </row>
    <row r="372" spans="1:7">
      <c r="A372" t="s">
        <v>1117</v>
      </c>
      <c r="B372" t="s">
        <v>1105</v>
      </c>
      <c r="C372" t="b">
        <v>0</v>
      </c>
      <c r="D372" t="s">
        <v>1123</v>
      </c>
      <c r="E372" t="s">
        <v>1106</v>
      </c>
      <c r="F372" t="s">
        <v>1107</v>
      </c>
      <c r="G372" s="3" t="s">
        <v>1126</v>
      </c>
    </row>
    <row r="373" spans="1:7">
      <c r="A373" t="s">
        <v>1117</v>
      </c>
      <c r="B373" t="s">
        <v>1108</v>
      </c>
      <c r="C373" t="b">
        <v>0</v>
      </c>
      <c r="D373" t="s">
        <v>1123</v>
      </c>
      <c r="E373" t="s">
        <v>1109</v>
      </c>
      <c r="F373" t="s">
        <v>1110</v>
      </c>
      <c r="G373" s="3" t="s">
        <v>1126</v>
      </c>
    </row>
    <row r="374" spans="1:7">
      <c r="A374" t="s">
        <v>1117</v>
      </c>
      <c r="B374" t="s">
        <v>1111</v>
      </c>
      <c r="C374" t="b">
        <v>0</v>
      </c>
      <c r="D374" t="s">
        <v>1123</v>
      </c>
      <c r="E374" t="s">
        <v>1112</v>
      </c>
      <c r="F374" t="s">
        <v>1113</v>
      </c>
      <c r="G374" s="3" t="s">
        <v>1126</v>
      </c>
    </row>
    <row r="375" spans="1:7">
      <c r="A375" t="s">
        <v>1117</v>
      </c>
      <c r="B375" t="s">
        <v>1114</v>
      </c>
      <c r="C375" t="b">
        <v>0</v>
      </c>
      <c r="D375" t="s">
        <v>1123</v>
      </c>
      <c r="E375" t="s">
        <v>1115</v>
      </c>
      <c r="F375" t="s">
        <v>1116</v>
      </c>
      <c r="G375" s="3" t="s">
        <v>1135</v>
      </c>
    </row>
    <row r="376" spans="1:7">
      <c r="A376" s="1" t="s">
        <v>1117</v>
      </c>
      <c r="B376" s="1" t="s">
        <v>1432</v>
      </c>
      <c r="C376" s="1" t="b">
        <v>0</v>
      </c>
      <c r="D376" s="1" t="s">
        <v>1433</v>
      </c>
      <c r="E376" s="1" t="s">
        <v>1434</v>
      </c>
      <c r="F376" s="1" t="s">
        <v>1435</v>
      </c>
      <c r="G376" s="3" t="s">
        <v>1466</v>
      </c>
    </row>
    <row r="377" spans="1:7">
      <c r="A377" t="s">
        <v>1117</v>
      </c>
      <c r="B377" s="54" t="s">
        <v>1436</v>
      </c>
      <c r="C377" t="b">
        <v>0</v>
      </c>
      <c r="D377" t="s">
        <v>1437</v>
      </c>
      <c r="E377" t="s">
        <v>1438</v>
      </c>
      <c r="F377" t="s">
        <v>1439</v>
      </c>
      <c r="G377" s="3" t="s">
        <v>1126</v>
      </c>
    </row>
    <row r="378" spans="1:7">
      <c r="A378" t="s">
        <v>1117</v>
      </c>
      <c r="B378" s="54" t="s">
        <v>1440</v>
      </c>
      <c r="C378" t="b">
        <v>0</v>
      </c>
      <c r="D378" t="s">
        <v>1437</v>
      </c>
      <c r="E378" t="s">
        <v>1441</v>
      </c>
      <c r="F378" t="s">
        <v>1442</v>
      </c>
      <c r="G378" s="3" t="s">
        <v>1126</v>
      </c>
    </row>
    <row r="379" spans="1:7">
      <c r="A379" t="s">
        <v>1117</v>
      </c>
      <c r="B379" t="s">
        <v>1443</v>
      </c>
      <c r="C379" t="b">
        <v>0</v>
      </c>
      <c r="D379" t="s">
        <v>1437</v>
      </c>
      <c r="E379" t="s">
        <v>1444</v>
      </c>
      <c r="F379" t="s">
        <v>1445</v>
      </c>
      <c r="G379" s="3" t="s">
        <v>1126</v>
      </c>
    </row>
    <row r="380" spans="1:7">
      <c r="A380" s="1" t="s">
        <v>1117</v>
      </c>
      <c r="B380" s="1" t="s">
        <v>1446</v>
      </c>
      <c r="C380" s="1" t="b">
        <v>0</v>
      </c>
      <c r="D380" s="2" t="s">
        <v>1437</v>
      </c>
      <c r="E380" s="1" t="s">
        <v>1447</v>
      </c>
      <c r="F380" s="1" t="s">
        <v>1448</v>
      </c>
      <c r="G380" s="3" t="s">
        <v>1126</v>
      </c>
    </row>
    <row r="381" spans="1:7">
      <c r="A381" t="s">
        <v>1117</v>
      </c>
      <c r="B381" t="s">
        <v>1449</v>
      </c>
      <c r="C381" t="b">
        <v>0</v>
      </c>
      <c r="D381" t="s">
        <v>1437</v>
      </c>
      <c r="E381" t="s">
        <v>1450</v>
      </c>
      <c r="F381" t="s">
        <v>1451</v>
      </c>
      <c r="G381" s="3" t="s">
        <v>1465</v>
      </c>
    </row>
    <row r="382" spans="1:7">
      <c r="A382" s="1" t="s">
        <v>1117</v>
      </c>
      <c r="B382" s="1" t="s">
        <v>1452</v>
      </c>
      <c r="C382" s="1" t="b">
        <v>0</v>
      </c>
      <c r="D382" s="1" t="s">
        <v>1437</v>
      </c>
      <c r="E382" s="1" t="s">
        <v>1453</v>
      </c>
      <c r="F382" s="1" t="s">
        <v>1454</v>
      </c>
      <c r="G382" s="3" t="s">
        <v>1126</v>
      </c>
    </row>
    <row r="383" spans="1:7">
      <c r="A383" t="s">
        <v>1117</v>
      </c>
      <c r="B383" t="s">
        <v>1455</v>
      </c>
      <c r="C383" t="b">
        <v>0</v>
      </c>
      <c r="D383" t="s">
        <v>1437</v>
      </c>
      <c r="E383" t="s">
        <v>1456</v>
      </c>
      <c r="F383" t="s">
        <v>1457</v>
      </c>
      <c r="G383" s="3" t="s">
        <v>1126</v>
      </c>
    </row>
    <row r="384" spans="1:7">
      <c r="A384" t="s">
        <v>1117</v>
      </c>
      <c r="B384" t="s">
        <v>1458</v>
      </c>
      <c r="C384" t="b">
        <v>0</v>
      </c>
      <c r="D384" t="s">
        <v>1437</v>
      </c>
      <c r="E384" t="s">
        <v>1459</v>
      </c>
      <c r="F384" t="s">
        <v>1460</v>
      </c>
      <c r="G384" s="3" t="s">
        <v>1126</v>
      </c>
    </row>
    <row r="385" spans="1:7">
      <c r="A385" t="s">
        <v>1117</v>
      </c>
      <c r="B385" t="s">
        <v>1461</v>
      </c>
      <c r="C385" t="b">
        <v>0</v>
      </c>
      <c r="D385" t="s">
        <v>1462</v>
      </c>
      <c r="E385" t="s">
        <v>1463</v>
      </c>
      <c r="F385" t="s">
        <v>1464</v>
      </c>
      <c r="G385" s="3" t="s">
        <v>1126</v>
      </c>
    </row>
    <row r="386" spans="1:7">
      <c r="A386" s="1"/>
      <c r="B386" s="2"/>
      <c r="C386" s="1"/>
      <c r="D386" s="2"/>
      <c r="E386" s="1"/>
      <c r="F386" s="1"/>
    </row>
    <row r="388" spans="1:7">
      <c r="A388" s="1"/>
      <c r="B388" s="2"/>
      <c r="C388" s="1"/>
      <c r="D388" s="1"/>
      <c r="E388" s="1"/>
      <c r="F388" s="1"/>
    </row>
    <row r="389" spans="1:7">
      <c r="B389" s="54"/>
    </row>
    <row r="390" spans="1:7">
      <c r="A390" s="1"/>
      <c r="B390" s="1"/>
      <c r="C390" s="1"/>
      <c r="D390" s="1"/>
      <c r="E390" s="1"/>
      <c r="F390" s="1"/>
    </row>
    <row r="392" spans="1:7">
      <c r="A392" s="1"/>
      <c r="B392" s="1"/>
      <c r="C392" s="1"/>
      <c r="D392" s="1"/>
      <c r="E392" s="1"/>
      <c r="F392" s="1"/>
    </row>
    <row r="394" spans="1:7">
      <c r="A394" s="1"/>
      <c r="B394" s="1"/>
      <c r="C394" s="1"/>
      <c r="D394" s="1"/>
      <c r="E394" s="1"/>
      <c r="F394" s="1"/>
    </row>
    <row r="396" spans="1:7">
      <c r="A396" s="1"/>
      <c r="B396" s="1"/>
      <c r="C396" s="1"/>
      <c r="D396" s="1"/>
      <c r="E396" s="1"/>
      <c r="F396" s="1"/>
    </row>
    <row r="397" spans="1:7">
      <c r="B397" s="54"/>
    </row>
    <row r="398" spans="1:7">
      <c r="A398" s="1"/>
      <c r="B398" s="2"/>
      <c r="C398" s="1"/>
      <c r="D398" s="1"/>
      <c r="E398" s="1"/>
      <c r="F398" s="1"/>
    </row>
    <row r="400" spans="1:7">
      <c r="A400" s="1"/>
      <c r="B400" s="1"/>
      <c r="C400" s="1"/>
      <c r="D400" s="1"/>
      <c r="E400" s="1"/>
      <c r="F400" s="1"/>
    </row>
    <row r="406" spans="1:6">
      <c r="A406" s="1"/>
      <c r="B406" s="2"/>
      <c r="C406" s="1"/>
      <c r="D406" s="2"/>
      <c r="E406" s="1"/>
      <c r="F406" s="1"/>
    </row>
    <row r="410" spans="1:6">
      <c r="A410" s="1"/>
      <c r="B410" s="1"/>
      <c r="C410" s="1"/>
      <c r="D410" s="1"/>
      <c r="E410" s="1"/>
      <c r="F410" s="1"/>
    </row>
    <row r="412" spans="1:6">
      <c r="A412" s="1"/>
      <c r="B412" s="2"/>
      <c r="C412" s="1"/>
      <c r="D412" s="1"/>
      <c r="E412" s="1"/>
      <c r="F412" s="1"/>
    </row>
    <row r="413" spans="1:6">
      <c r="B413" s="54"/>
    </row>
    <row r="414" spans="1:6">
      <c r="A414" s="1"/>
      <c r="B414" s="1"/>
      <c r="C414" s="1"/>
      <c r="D414" s="1"/>
      <c r="E414" s="1"/>
      <c r="F414" s="1"/>
    </row>
    <row r="418" spans="1:6">
      <c r="A418" s="1"/>
      <c r="B418" s="2"/>
      <c r="C418" s="1"/>
      <c r="D418" s="1"/>
      <c r="E418" s="1"/>
      <c r="F418" s="1"/>
    </row>
    <row r="420" spans="1:6">
      <c r="A420" s="1"/>
      <c r="B420" s="2"/>
      <c r="C420" s="1"/>
      <c r="D420" s="1"/>
      <c r="E420" s="1"/>
      <c r="F420" s="1"/>
    </row>
    <row r="422" spans="1:6">
      <c r="A422" s="1"/>
      <c r="B422" s="2"/>
      <c r="C422" s="1"/>
      <c r="D422" s="1"/>
      <c r="E422" s="1"/>
      <c r="F422" s="1"/>
    </row>
    <row r="424" spans="1:6">
      <c r="A424" s="1"/>
      <c r="B424" s="1"/>
      <c r="C424" s="1"/>
      <c r="D424" s="1"/>
      <c r="E424" s="1"/>
      <c r="F424" s="1"/>
    </row>
    <row r="428" spans="1:6">
      <c r="A428" s="1"/>
      <c r="B428" s="2"/>
      <c r="C428" s="1"/>
      <c r="D428" s="1"/>
      <c r="E428" s="1"/>
      <c r="F428" s="1"/>
    </row>
    <row r="430" spans="1:6">
      <c r="A430" s="1"/>
      <c r="B430" s="2"/>
      <c r="C430" s="1"/>
      <c r="D430" s="1"/>
      <c r="E430" s="1"/>
      <c r="F430" s="1"/>
    </row>
    <row r="434" spans="1:6">
      <c r="A434" s="1"/>
      <c r="B434" s="2"/>
      <c r="C434" s="1"/>
      <c r="D434" s="1"/>
      <c r="E434" s="1"/>
      <c r="F434" s="1"/>
    </row>
    <row r="440" spans="1:6">
      <c r="A440" s="1"/>
      <c r="B440" s="1"/>
      <c r="C440" s="1"/>
      <c r="D440" s="1"/>
      <c r="E440" s="1"/>
      <c r="F440" s="1"/>
    </row>
    <row r="466" spans="1:6">
      <c r="A466" s="1"/>
      <c r="B466" s="1"/>
      <c r="C466" s="1"/>
      <c r="D466" s="1"/>
      <c r="E466" s="1"/>
      <c r="F466" s="1"/>
    </row>
    <row r="468" spans="1:6">
      <c r="A468" s="1"/>
      <c r="B468" s="2"/>
      <c r="C468" s="1"/>
      <c r="D468" s="1"/>
      <c r="E468" s="1"/>
      <c r="F468" s="1"/>
    </row>
    <row r="469" spans="1:6">
      <c r="B469" s="54"/>
    </row>
    <row r="470" spans="1:6">
      <c r="A470" s="1"/>
      <c r="B470" s="1"/>
      <c r="C470" s="1"/>
      <c r="D470" s="1"/>
      <c r="E470" s="1"/>
      <c r="F470" s="1"/>
    </row>
    <row r="472" spans="1:6">
      <c r="A472" s="1"/>
      <c r="B472" s="1"/>
      <c r="C472" s="1"/>
      <c r="D472" s="1"/>
      <c r="E472" s="1"/>
      <c r="F472" s="1"/>
    </row>
    <row r="474" spans="1:6">
      <c r="A474" s="1"/>
      <c r="B474" s="2"/>
      <c r="C474" s="1"/>
      <c r="D474" s="1"/>
      <c r="E474" s="1"/>
      <c r="F474" s="1"/>
    </row>
    <row r="482" spans="1:6">
      <c r="A482" s="1"/>
      <c r="B482" s="1"/>
      <c r="C482" s="1"/>
      <c r="D482" s="1"/>
      <c r="E482" s="1"/>
      <c r="F482" s="1"/>
    </row>
    <row r="483" spans="1:6">
      <c r="B483" s="54"/>
    </row>
    <row r="484" spans="1:6">
      <c r="A484" s="1"/>
      <c r="B484" s="2"/>
      <c r="C484" s="1"/>
      <c r="D484" s="1"/>
      <c r="E484" s="1"/>
      <c r="F484" s="1"/>
    </row>
    <row r="486" spans="1:6">
      <c r="A486" s="1"/>
      <c r="B486" s="1"/>
      <c r="C486" s="1"/>
      <c r="D486" s="1"/>
      <c r="E486" s="1"/>
      <c r="F486" s="1"/>
    </row>
    <row r="488" spans="1:6">
      <c r="A488" s="1"/>
      <c r="B488" s="1"/>
      <c r="C488" s="1"/>
      <c r="D488" s="1"/>
      <c r="E488" s="1"/>
      <c r="F488" s="1"/>
    </row>
    <row r="489" spans="1:6">
      <c r="B489" s="54"/>
    </row>
    <row r="490" spans="1:6">
      <c r="A490" s="1"/>
      <c r="B490" s="1"/>
      <c r="C490" s="1"/>
      <c r="D490" s="1"/>
      <c r="E490" s="1"/>
      <c r="F490" s="1"/>
    </row>
    <row r="492" spans="1:6">
      <c r="A492" s="1"/>
      <c r="B492" s="1"/>
      <c r="C492" s="1"/>
      <c r="D492" s="1"/>
      <c r="E492" s="1"/>
      <c r="F492" s="1"/>
    </row>
    <row r="494" spans="1:6">
      <c r="A494" s="1"/>
      <c r="B494" s="1"/>
      <c r="C494" s="1"/>
      <c r="D494" s="1"/>
      <c r="E494" s="1"/>
      <c r="F494" s="1"/>
    </row>
    <row r="496" spans="1:6">
      <c r="A496" s="1"/>
      <c r="B496" s="1"/>
      <c r="C496" s="1"/>
      <c r="D496" s="1"/>
      <c r="E496" s="1"/>
      <c r="F496" s="1"/>
    </row>
    <row r="498" spans="1:6">
      <c r="A498" s="1"/>
      <c r="B498" s="1"/>
      <c r="C498" s="1"/>
      <c r="D498" s="2"/>
      <c r="E498" s="1"/>
      <c r="F498" s="1"/>
    </row>
    <row r="500" spans="1:6">
      <c r="A500" s="1"/>
      <c r="B500" s="2"/>
      <c r="C500" s="1"/>
      <c r="D500" s="1"/>
      <c r="E500" s="1"/>
      <c r="F500" s="1"/>
    </row>
    <row r="501" spans="1:6">
      <c r="B501" s="54"/>
    </row>
    <row r="502" spans="1:6">
      <c r="A502" s="1"/>
      <c r="B502" s="2"/>
      <c r="C502" s="1"/>
      <c r="D502" s="2"/>
      <c r="E502" s="1"/>
      <c r="F502" s="1"/>
    </row>
    <row r="508" spans="1:6">
      <c r="A508" s="1"/>
      <c r="B508" s="2"/>
      <c r="C508" s="1"/>
      <c r="D508" s="1"/>
      <c r="E508" s="1"/>
      <c r="F508" s="1"/>
    </row>
    <row r="510" spans="1:6">
      <c r="A510" s="1"/>
      <c r="B510" s="2"/>
      <c r="C510" s="1"/>
      <c r="D510" s="2"/>
      <c r="E510" s="1"/>
      <c r="F510" s="1"/>
    </row>
    <row r="512" spans="1:6">
      <c r="A512" s="1"/>
      <c r="B512" s="1"/>
      <c r="C512" s="1"/>
      <c r="D512" s="2"/>
      <c r="E512" s="1"/>
      <c r="F512" s="1"/>
    </row>
    <row r="514" spans="1:6">
      <c r="A514" s="1"/>
      <c r="B514" s="1"/>
      <c r="C514" s="1"/>
      <c r="D514" s="1"/>
      <c r="E514" s="1"/>
      <c r="F514" s="1"/>
    </row>
    <row r="516" spans="1:6">
      <c r="A516" s="1"/>
      <c r="B516" s="2"/>
      <c r="C516" s="1"/>
      <c r="D516" s="1"/>
      <c r="E516" s="1"/>
      <c r="F516" s="58"/>
    </row>
    <row r="518" spans="1:6">
      <c r="A518" s="1"/>
      <c r="B518" s="1"/>
      <c r="C518" s="1"/>
      <c r="D518" s="1"/>
      <c r="E518" s="1"/>
      <c r="F518" s="1"/>
    </row>
    <row r="520" spans="1:6">
      <c r="A520" s="1"/>
      <c r="B520" s="1"/>
      <c r="C520" s="1"/>
      <c r="D520" s="1"/>
      <c r="E520" s="1"/>
      <c r="F520" s="1"/>
    </row>
    <row r="524" spans="1:6">
      <c r="A524" s="1"/>
      <c r="B524" s="1"/>
      <c r="C524" s="1"/>
      <c r="D524" s="1"/>
      <c r="E524" s="1"/>
      <c r="F524" s="1"/>
    </row>
    <row r="525" spans="1:6">
      <c r="B525" s="54"/>
    </row>
    <row r="526" spans="1:6">
      <c r="A526" s="1"/>
      <c r="B526" s="1"/>
      <c r="C526" s="1"/>
      <c r="D526" s="1"/>
      <c r="E526" s="1"/>
      <c r="F526" s="1"/>
    </row>
    <row r="528" spans="1:6">
      <c r="A528" s="1"/>
      <c r="B528" s="1"/>
      <c r="C528" s="1"/>
      <c r="D528" s="1"/>
      <c r="E528" s="1"/>
      <c r="F528" s="1"/>
    </row>
    <row r="530" spans="1:6">
      <c r="A530" s="1"/>
      <c r="B530" s="1"/>
      <c r="C530" s="1"/>
      <c r="D530" s="1"/>
      <c r="E530" s="1"/>
      <c r="F530" s="1"/>
    </row>
    <row r="532" spans="1:6">
      <c r="A532" s="1"/>
      <c r="B532" s="1"/>
      <c r="C532" s="1"/>
      <c r="D532" s="1"/>
      <c r="E532" s="1"/>
      <c r="F532" s="1"/>
    </row>
    <row r="534" spans="1:6">
      <c r="A534" s="1"/>
      <c r="B534" s="1"/>
      <c r="C534" s="1"/>
      <c r="D534" s="1"/>
      <c r="E534" s="1"/>
      <c r="F534" s="1"/>
    </row>
    <row r="536" spans="1:6">
      <c r="A536" s="1"/>
      <c r="B536" s="1"/>
      <c r="C536" s="1"/>
      <c r="D536" s="2"/>
      <c r="E536" s="1"/>
      <c r="F536" s="1"/>
    </row>
    <row r="538" spans="1:6">
      <c r="A538" s="1"/>
      <c r="B538" s="1"/>
      <c r="C538" s="1"/>
      <c r="D538" s="1"/>
      <c r="E538" s="1"/>
      <c r="F538" s="1"/>
    </row>
    <row r="542" spans="1:6">
      <c r="A542" s="1"/>
      <c r="B542" s="2"/>
      <c r="C542" s="1"/>
      <c r="D542" s="1"/>
      <c r="E542" s="1"/>
      <c r="F542" s="1"/>
    </row>
    <row r="544" spans="1:6">
      <c r="A544" s="1"/>
      <c r="B544" s="1"/>
      <c r="C544" s="1"/>
      <c r="D544" s="2"/>
      <c r="E544" s="1"/>
      <c r="F544" s="1"/>
    </row>
    <row r="546" spans="1:6">
      <c r="A546" s="1"/>
      <c r="B546" s="1"/>
      <c r="C546" s="1"/>
      <c r="D546" s="1"/>
      <c r="E546" s="1"/>
      <c r="F546" s="1"/>
    </row>
    <row r="550" spans="1:6">
      <c r="A550" s="1"/>
      <c r="B550" s="1"/>
      <c r="C550" s="1"/>
      <c r="D550" s="2"/>
      <c r="E550" s="1"/>
      <c r="F550" s="1"/>
    </row>
    <row r="551" spans="1:6">
      <c r="B551" s="54"/>
    </row>
    <row r="552" spans="1:6">
      <c r="B552" s="54"/>
    </row>
    <row r="553" spans="1:6">
      <c r="B553" s="54"/>
    </row>
    <row r="556" spans="1:6">
      <c r="A556" s="1"/>
      <c r="B556" s="1"/>
      <c r="C556" s="1"/>
      <c r="D556" s="1"/>
      <c r="E556" s="1"/>
      <c r="F556" s="1"/>
    </row>
    <row r="558" spans="1:6">
      <c r="A558" s="1"/>
      <c r="B558" s="1"/>
      <c r="C558" s="1"/>
      <c r="D558" s="1"/>
      <c r="E558" s="1"/>
      <c r="F558" s="1"/>
    </row>
    <row r="562" spans="1:6">
      <c r="A562" s="1"/>
      <c r="B562" s="2"/>
      <c r="C562" s="1"/>
      <c r="D562" s="1"/>
      <c r="E562" s="1"/>
      <c r="F562" s="1"/>
    </row>
    <row r="563" spans="1:6">
      <c r="B563" s="54"/>
    </row>
    <row r="564" spans="1:6">
      <c r="A564" s="1"/>
      <c r="B564" s="2"/>
      <c r="C564" s="1"/>
      <c r="D564" s="1"/>
      <c r="E564" s="1"/>
      <c r="F564" s="1"/>
    </row>
    <row r="568" spans="1:6">
      <c r="A568" s="1"/>
      <c r="B568" s="1"/>
      <c r="C568" s="1"/>
      <c r="D568" s="1"/>
      <c r="E568" s="1"/>
      <c r="F568" s="1"/>
    </row>
    <row r="569" spans="1:6">
      <c r="B569" s="54"/>
    </row>
    <row r="570" spans="1:6">
      <c r="A570" s="1"/>
      <c r="B570" s="2"/>
      <c r="C570" s="1"/>
      <c r="D570" s="1"/>
      <c r="E570" s="1"/>
      <c r="F570" s="1"/>
    </row>
    <row r="572" spans="1:6">
      <c r="A572" s="1"/>
      <c r="B572" s="1"/>
      <c r="C572" s="1"/>
      <c r="D572" s="1"/>
      <c r="E572" s="1"/>
      <c r="F572" s="1"/>
    </row>
    <row r="578" spans="1:6">
      <c r="A578" s="1"/>
      <c r="B578" s="2"/>
      <c r="C578" s="1"/>
      <c r="D578" s="1"/>
      <c r="E578" s="1"/>
      <c r="F578" s="1"/>
    </row>
    <row r="579" spans="1:6">
      <c r="B579" s="5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5"/>
  <sheetViews>
    <sheetView tabSelected="1" workbookViewId="0">
      <selection activeCell="A30" sqref="A30"/>
    </sheetView>
  </sheetViews>
  <sheetFormatPr defaultRowHeight="15"/>
  <cols>
    <col min="1" max="1" width="75.140625" customWidth="1"/>
    <col min="2" max="2" width="15.140625" customWidth="1"/>
    <col min="3" max="3" width="28.85546875" bestFit="1" customWidth="1"/>
    <col min="4" max="4" width="10.5703125" bestFit="1" customWidth="1"/>
  </cols>
  <sheetData>
    <row r="1" spans="1:4">
      <c r="A1" t="s">
        <v>2</v>
      </c>
      <c r="B1" t="s">
        <v>3</v>
      </c>
      <c r="C1" t="s">
        <v>1136</v>
      </c>
      <c r="D1" t="s">
        <v>6</v>
      </c>
    </row>
    <row r="2" spans="1:4">
      <c r="A2" s="4" t="s">
        <v>4</v>
      </c>
      <c r="B2" t="s">
        <v>5</v>
      </c>
      <c r="C2" t="s">
        <v>1137</v>
      </c>
      <c r="D2" t="s">
        <v>7</v>
      </c>
    </row>
    <row r="5" spans="1:4" ht="15.75">
      <c r="A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rello">
                <anchor moveWithCells="1" sizeWithCells="1">
                  <from>
                    <xdr:col>0</xdr:col>
                    <xdr:colOff>142875</xdr:colOff>
                    <xdr:row>2</xdr:row>
                    <xdr:rowOff>76200</xdr:rowOff>
                  </from>
                  <to>
                    <xdr:col>0</xdr:col>
                    <xdr:colOff>3324225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DropDowns</vt:lpstr>
      <vt:lpstr>Products</vt:lpstr>
      <vt:lpstr>TrelloData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Benson, Didymus</cp:lastModifiedBy>
  <dcterms:created xsi:type="dcterms:W3CDTF">2011-08-25T14:29:57Z</dcterms:created>
  <dcterms:modified xsi:type="dcterms:W3CDTF">2017-08-28T17:35:32Z</dcterms:modified>
</cp:coreProperties>
</file>